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xecutive AI Model" sheetId="1" state="visible" r:id="rId1"/>
    <sheet xmlns:r="http://schemas.openxmlformats.org/officeDocument/2006/relationships" name="Ats Slide" sheetId="2" state="visible" r:id="rId2"/>
    <sheet xmlns:r="http://schemas.openxmlformats.org/officeDocument/2006/relationships" name="Financial model" sheetId="3" state="visible" r:id="rId3"/>
    <sheet xmlns:r="http://schemas.openxmlformats.org/officeDocument/2006/relationships" name="Recoverable units" sheetId="4" state="visible" r:id="rId4"/>
    <sheet xmlns:r="http://schemas.openxmlformats.org/officeDocument/2006/relationships" name="Stamp duty" sheetId="5" state="visible" r:id="rId5"/>
    <sheet xmlns:r="http://schemas.openxmlformats.org/officeDocument/2006/relationships" name="2) SW Eng" sheetId="6" state="visible" r:id="rId6"/>
    <sheet xmlns:r="http://schemas.openxmlformats.org/officeDocument/2006/relationships" name="4) Accounting" sheetId="7" state="visible" r:id="rId7"/>
    <sheet xmlns:r="http://schemas.openxmlformats.org/officeDocument/2006/relationships" name="8) Facilities" sheetId="8" state="visible" r:id="rId8"/>
    <sheet xmlns:r="http://schemas.openxmlformats.org/officeDocument/2006/relationships" name="11) IT-Infrastructure" sheetId="9" state="visible" r:id="rId9"/>
    <sheet xmlns:r="http://schemas.openxmlformats.org/officeDocument/2006/relationships" name="13) IT- Security" sheetId="10" state="visible" r:id="rId10"/>
    <sheet xmlns:r="http://schemas.openxmlformats.org/officeDocument/2006/relationships" name="12) IT- Apps" sheetId="11" state="visible" r:id="rId11"/>
    <sheet xmlns:r="http://schemas.openxmlformats.org/officeDocument/2006/relationships" name="14) Operations" sheetId="12" state="visible" r:id="rId12"/>
    <sheet xmlns:r="http://schemas.openxmlformats.org/officeDocument/2006/relationships" name="Summary cost inputs" sheetId="13" state="visible" r:id="rId13"/>
    <sheet xmlns:r="http://schemas.openxmlformats.org/officeDocument/2006/relationships" name="I. TECH" sheetId="14" state="visible" r:id="rId14"/>
    <sheet xmlns:r="http://schemas.openxmlformats.org/officeDocument/2006/relationships" name="II NON-TECH" sheetId="15" state="visible" r:id="rId15"/>
    <sheet xmlns:r="http://schemas.openxmlformats.org/officeDocument/2006/relationships" name="1) ProductUX" sheetId="16" state="hidden" r:id="rId16"/>
    <sheet xmlns:r="http://schemas.openxmlformats.org/officeDocument/2006/relationships" name="3) HW Eng" sheetId="17" state="hidden" r:id="rId17"/>
    <sheet xmlns:r="http://schemas.openxmlformats.org/officeDocument/2006/relationships" name="5) Tax &amp; Treasury" sheetId="18" state="hidden" r:id="rId18"/>
    <sheet xmlns:r="http://schemas.openxmlformats.org/officeDocument/2006/relationships" name="6) Legal" sheetId="19" state="hidden" r:id="rId19"/>
    <sheet xmlns:r="http://schemas.openxmlformats.org/officeDocument/2006/relationships" name="7) HR" sheetId="20" state="hidden" r:id="rId20"/>
    <sheet xmlns:r="http://schemas.openxmlformats.org/officeDocument/2006/relationships" name="9) Marketing" sheetId="21" state="hidden" r:id="rId21"/>
    <sheet xmlns:r="http://schemas.openxmlformats.org/officeDocument/2006/relationships" name="10) Int'l S&amp;M" sheetId="22" state="hidden" r:id="rId22"/>
    <sheet xmlns:r="http://schemas.openxmlformats.org/officeDocument/2006/relationships" name="Sheet2" sheetId="23" state="hidden" r:id="rId23"/>
  </sheets>
  <externalReferences>
    <externalReference xmlns:r="http://schemas.openxmlformats.org/officeDocument/2006/relationships" r:id="rId24"/>
  </externalReferences>
  <definedNames/>
  <calcPr calcId="191029" calcMode="auto" fullCalcOnLoad="1" calcOnSave="1" forceFullCalc="1"/>
</workbook>
</file>

<file path=xl/styles.xml><?xml version="1.0" encoding="utf-8"?>
<styleSheet xmlns="http://schemas.openxmlformats.org/spreadsheetml/2006/main">
  <numFmts count="11">
    <numFmt numFmtId="164" formatCode="m/d/yy"/>
    <numFmt numFmtId="165" formatCode="_(&quot;$&quot;* #,##0_);_(&quot;$&quot;* \(#,##0\);_(&quot;$&quot;* &quot;-&quot;??_);_(@_)"/>
    <numFmt numFmtId="166" formatCode="&quot;$&quot;#,##0"/>
    <numFmt numFmtId="167" formatCode="_(* #,##0_);_(* \(#,##0\);_(* &quot;-&quot;??_);_(@_)"/>
    <numFmt numFmtId="168" formatCode="_-* #,##0.00_-;\-* #,##0.00_-;_-* &quot;-&quot;??_-;_-@_-"/>
    <numFmt numFmtId="169" formatCode="_-* #,##0_-;\-* #,##0_-;_-* &quot;-&quot;??_-;_-@_-"/>
    <numFmt numFmtId="170" formatCode="_(&quot;$&quot;* #,##0_);_(&quot;$&quot;* \(#,##0\);_(&quot;$&quot;* &quot;-&quot;?_);_(@_)"/>
    <numFmt numFmtId="171" formatCode="$#,##0;[Red]($#,##0);-"/>
    <numFmt numFmtId="172" formatCode="0.0%;[Red](0.0%);-"/>
    <numFmt numFmtId="173" formatCode="0.0;[Red](0.0);-"/>
    <numFmt numFmtId="174" formatCode="yyyy-mm-dd"/>
  </numFmts>
  <fonts count="90">
    <font>
      <name val="Calibri"/>
      <color rgb="FF000000"/>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000000"/>
      <sz val="18"/>
    </font>
    <font>
      <name val="Calibri"/>
      <family val="2"/>
      <sz val="11"/>
    </font>
    <font>
      <name val="Calibri"/>
      <family val="2"/>
      <b val="1"/>
      <sz val="11"/>
    </font>
    <font>
      <name val="Calibri"/>
      <family val="2"/>
      <b val="1"/>
      <sz val="18"/>
    </font>
    <font>
      <name val="Calibri"/>
      <family val="2"/>
      <sz val="11"/>
    </font>
    <font>
      <name val="Calibri"/>
      <family val="2"/>
      <b val="1"/>
      <i val="1"/>
      <color rgb="FF000000"/>
      <sz val="11"/>
    </font>
    <font>
      <name val="Calibri"/>
      <family val="2"/>
      <b val="1"/>
      <color rgb="FF000000"/>
      <sz val="14"/>
    </font>
    <font>
      <name val="Calibri"/>
      <family val="2"/>
      <b val="1"/>
      <color rgb="FF000000"/>
      <sz val="11"/>
    </font>
    <font>
      <name val="Calibri"/>
      <family val="2"/>
      <b val="1"/>
      <color rgb="FFFFFFFF"/>
      <sz val="11"/>
    </font>
    <font>
      <name val="Calibri"/>
      <family val="2"/>
      <b val="1"/>
      <sz val="11"/>
    </font>
    <font>
      <name val="Arial"/>
      <family val="2"/>
      <color rgb="FF1F497D"/>
      <sz val="11"/>
    </font>
    <font>
      <name val="Calibri"/>
      <family val="2"/>
      <color rgb="FF000000"/>
      <sz val="12"/>
    </font>
    <font>
      <name val="Calibri"/>
      <family val="2"/>
      <sz val="14"/>
    </font>
    <font>
      <name val="Calibri"/>
      <family val="2"/>
      <b val="1"/>
      <sz val="14"/>
    </font>
    <font>
      <name val="Arial"/>
      <family val="2"/>
      <color rgb="FF000000"/>
      <sz val="9"/>
    </font>
    <font>
      <name val="Calibri"/>
      <family val="2"/>
      <b val="1"/>
      <color rgb="FFFFFFFF"/>
      <sz val="11"/>
    </font>
    <font>
      <name val="Calibri"/>
      <family val="2"/>
      <color rgb="FF006100"/>
      <sz val="11"/>
      <scheme val="minor"/>
    </font>
    <font>
      <name val="Calibri"/>
      <family val="2"/>
      <color rgb="FFFF0000"/>
      <sz val="11"/>
      <scheme val="minor"/>
    </font>
    <font>
      <name val="Calibri"/>
      <family val="2"/>
      <b val="1"/>
      <color theme="1"/>
      <sz val="11"/>
      <scheme val="minor"/>
    </font>
    <font>
      <name val="Calibri"/>
      <family val="2"/>
      <b val="1"/>
      <color theme="1"/>
      <sz val="12"/>
      <u val="single"/>
      <scheme val="minor"/>
    </font>
    <font>
      <name val="Calibri"/>
      <family val="2"/>
      <b val="1"/>
      <color theme="1"/>
      <sz val="24"/>
      <u val="single"/>
      <scheme val="minor"/>
    </font>
    <font>
      <name val="Calibri"/>
      <family val="2"/>
      <b val="1"/>
      <color rgb="FFFF0000"/>
      <sz val="11"/>
      <scheme val="minor"/>
    </font>
    <font>
      <name val="Calibri"/>
      <family val="2"/>
      <color rgb="FF0066FF"/>
      <sz val="11"/>
      <scheme val="minor"/>
    </font>
    <font>
      <name val="Calibri"/>
      <family val="2"/>
      <b val="1"/>
      <color theme="0"/>
      <sz val="12"/>
      <scheme val="minor"/>
    </font>
    <font>
      <name val="Calibri"/>
      <family val="2"/>
      <i val="1"/>
      <color theme="1"/>
      <sz val="11"/>
      <u val="single"/>
      <scheme val="minor"/>
    </font>
    <font>
      <name val="Calibri"/>
      <family val="2"/>
      <sz val="11"/>
      <scheme val="minor"/>
    </font>
    <font>
      <name val="Calibri"/>
      <family val="2"/>
      <b val="1"/>
      <i val="1"/>
      <sz val="11"/>
      <scheme val="minor"/>
    </font>
    <font>
      <name val="Calibri"/>
      <family val="2"/>
      <b val="1"/>
      <sz val="11"/>
      <scheme val="minor"/>
    </font>
    <font>
      <name val="Calibri"/>
      <family val="2"/>
      <b val="1"/>
      <i val="1"/>
      <color theme="1"/>
      <sz val="11"/>
      <scheme val="minor"/>
    </font>
    <font>
      <name val="Calibri"/>
      <family val="2"/>
      <color theme="1"/>
      <sz val="11"/>
      <u val="single"/>
      <scheme val="minor"/>
    </font>
    <font>
      <name val="Calibri"/>
      <family val="2"/>
      <b val="1"/>
      <color theme="1"/>
      <sz val="10"/>
      <scheme val="minor"/>
    </font>
    <font>
      <name val="Calibri"/>
      <family val="2"/>
      <i val="1"/>
      <color theme="1"/>
      <sz val="11"/>
      <scheme val="minor"/>
    </font>
    <font>
      <name val="Calibri"/>
      <family val="2"/>
      <sz val="10"/>
      <scheme val="minor"/>
    </font>
    <font>
      <name val="Calibri"/>
      <family val="2"/>
      <color rgb="FF0066FF"/>
      <sz val="10"/>
      <scheme val="minor"/>
    </font>
    <font>
      <name val="Calibri"/>
      <family val="2"/>
      <color theme="1"/>
      <sz val="10"/>
      <scheme val="minor"/>
    </font>
    <font>
      <name val="Calibri"/>
      <family val="2"/>
      <i val="1"/>
      <color rgb="FFFF0000"/>
      <sz val="11"/>
      <scheme val="minor"/>
    </font>
    <font>
      <name val="Calibri"/>
      <family val="2"/>
      <b val="1"/>
      <sz val="10"/>
      <scheme val="minor"/>
    </font>
    <font>
      <name val="Calibri"/>
      <family val="2"/>
      <b val="1"/>
      <color rgb="FFFF0000"/>
      <sz val="10"/>
      <scheme val="minor"/>
    </font>
    <font>
      <name val="Calibri"/>
      <family val="2"/>
      <b val="1"/>
      <i val="1"/>
      <color theme="1"/>
      <sz val="10"/>
      <scheme val="minor"/>
    </font>
    <font>
      <name val="Calibri"/>
      <color theme="10"/>
      <sz val="11"/>
      <u val="single"/>
    </font>
    <font>
      <name val="Calibri"/>
      <color rgb="FF000000"/>
      <sz val="11"/>
    </font>
    <font>
      <name val="Calibri"/>
      <family val="2"/>
      <color theme="4" tint="-0.249977111117893"/>
      <sz val="11"/>
      <scheme val="minor"/>
    </font>
    <font>
      <name val="Calibri"/>
      <family val="2"/>
      <color rgb="FFFF0000"/>
      <sz val="11"/>
    </font>
    <font>
      <name val="Calibri"/>
      <family val="2"/>
      <color rgb="FF000000"/>
      <sz val="11"/>
    </font>
    <font>
      <name val="Calibri"/>
      <family val="2"/>
      <i val="1"/>
      <color theme="4" tint="-0.249977111117893"/>
      <sz val="11"/>
      <scheme val="minor"/>
    </font>
    <font>
      <name val="Calibri"/>
      <family val="2"/>
      <color theme="4" tint="-0.249977111117893"/>
      <sz val="10"/>
      <scheme val="minor"/>
    </font>
    <font>
      <name val="Arial"/>
      <color rgb="FF000000"/>
      <sz val="10"/>
    </font>
    <font>
      <name val="Arial"/>
      <color theme="1"/>
      <sz val="10"/>
    </font>
    <font>
      <name val="Arial"/>
      <b val="1"/>
      <color rgb="FFFFFFFF"/>
      <sz val="10"/>
    </font>
    <font>
      <name val="Arial"/>
      <b val="1"/>
      <color theme="1"/>
      <sz val="10"/>
    </font>
    <font>
      <name val="Arial"/>
      <family val="2"/>
      <color rgb="FF000000"/>
      <sz val="10"/>
      <u val="single"/>
    </font>
    <font>
      <name val="Arial"/>
      <family val="2"/>
      <color rgb="FF000000"/>
      <sz val="10"/>
    </font>
    <font>
      <name val="Arial"/>
      <family val="2"/>
      <color rgb="FFFF0000"/>
      <sz val="10"/>
    </font>
    <font>
      <name val="Calibri"/>
      <family val="2"/>
      <sz val="14"/>
      <scheme val="minor"/>
    </font>
    <font>
      <name val="Calibri"/>
      <family val="2"/>
      <color theme="1"/>
      <sz val="14"/>
      <scheme val="minor"/>
    </font>
    <font>
      <name val="Arial"/>
      <family val="2"/>
      <b val="1"/>
      <color theme="1"/>
      <sz val="10"/>
    </font>
    <font>
      <name val="Arial"/>
      <family val="2"/>
      <sz val="10"/>
    </font>
    <font>
      <name val="Arial"/>
      <family val="2"/>
      <color rgb="FF0066FF"/>
      <sz val="10"/>
    </font>
    <font>
      <name val="Arial"/>
      <family val="2"/>
      <color theme="1"/>
      <sz val="10"/>
    </font>
    <font>
      <name val="Arial"/>
      <family val="2"/>
      <b val="1"/>
      <sz val="10"/>
    </font>
    <font>
      <name val="Arial"/>
      <family val="2"/>
      <color theme="4" tint="-0.249977111117893"/>
      <sz val="10"/>
    </font>
    <font>
      <name val="Arial"/>
      <family val="2"/>
      <b val="1"/>
      <color rgb="FFFF0000"/>
      <sz val="10"/>
    </font>
    <font>
      <name val="Arial"/>
      <family val="2"/>
      <b val="1"/>
      <i val="1"/>
      <color theme="1"/>
      <sz val="10"/>
    </font>
    <font>
      <name val="Arial"/>
      <family val="2"/>
      <color theme="1"/>
      <sz val="10"/>
      <u val="single"/>
    </font>
    <font>
      <name val="Arial"/>
      <family val="2"/>
      <sz val="10"/>
      <u val="single"/>
    </font>
    <font>
      <name val="Arial"/>
      <family val="2"/>
      <color theme="1"/>
      <sz val="10"/>
      <u val="singleAccounting"/>
    </font>
    <font>
      <name val="Arial"/>
      <family val="2"/>
      <b val="1"/>
      <color theme="1"/>
      <sz val="10"/>
      <u val="single"/>
    </font>
    <font>
      <name val="Arial"/>
      <family val="2"/>
      <b val="1"/>
      <color theme="0"/>
      <sz val="10"/>
    </font>
    <font>
      <name val="Arial"/>
      <family val="2"/>
      <b val="1"/>
      <i val="1"/>
      <sz val="10"/>
    </font>
    <font>
      <name val="Arial"/>
      <family val="2"/>
      <b val="1"/>
      <color theme="1"/>
      <sz val="10"/>
      <u val="singleAccounting"/>
    </font>
    <font>
      <name val="Arial"/>
      <family val="2"/>
      <i val="1"/>
      <color theme="1"/>
      <sz val="10"/>
    </font>
    <font>
      <name val="Arial"/>
      <family val="2"/>
      <i val="1"/>
      <color theme="4" tint="-0.249977111117893"/>
      <sz val="10"/>
    </font>
    <font>
      <name val="Arial"/>
      <family val="2"/>
      <color theme="10"/>
      <sz val="10"/>
      <u val="single"/>
    </font>
    <font>
      <name val="Arial"/>
      <family val="2"/>
      <i val="1"/>
      <color rgb="FFFF0000"/>
      <sz val="10"/>
    </font>
    <font>
      <name val="Arial"/>
      <family val="2"/>
      <strike val="1"/>
      <color theme="1"/>
      <sz val="10"/>
    </font>
    <font>
      <b val="1"/>
      <color rgb="00FFFFFF"/>
      <sz val="14"/>
    </font>
    <font>
      <i val="1"/>
      <color rgb="001F1F1F"/>
    </font>
    <font>
      <b val="1"/>
      <color rgb="001F1F1F"/>
    </font>
    <font>
      <b val="1"/>
      <color rgb="00FFFFFF"/>
    </font>
    <font>
      <b val="1"/>
      <color rgb="000000FF"/>
    </font>
    <font>
      <color rgb="00666666"/>
    </font>
    <font>
      <color rgb="00008000"/>
    </font>
    <font>
      <color rgb="001F1F1F"/>
    </font>
  </fonts>
  <fills count="37">
    <fill>
      <patternFill/>
    </fill>
    <fill>
      <patternFill patternType="gray125"/>
    </fill>
    <fill>
      <patternFill patternType="solid">
        <fgColor rgb="FFFFFFFF"/>
        <bgColor rgb="FFFFFFFF"/>
      </patternFill>
    </fill>
    <fill>
      <patternFill patternType="solid">
        <fgColor rgb="FFEFEFEF"/>
        <bgColor rgb="FFEFEFEF"/>
      </patternFill>
    </fill>
    <fill>
      <patternFill patternType="solid">
        <fgColor rgb="FF2F5496"/>
        <bgColor rgb="FF2F5496"/>
      </patternFill>
    </fill>
    <fill>
      <patternFill patternType="solid">
        <fgColor rgb="FFFEF2CB"/>
        <bgColor rgb="FFFEF2CB"/>
      </patternFill>
    </fill>
    <fill>
      <patternFill patternType="solid">
        <fgColor rgb="FF00FF00"/>
        <bgColor rgb="FF00FF00"/>
      </patternFill>
    </fill>
    <fill>
      <patternFill patternType="solid">
        <fgColor rgb="FFA2C4C9"/>
        <bgColor rgb="FFA2C4C9"/>
      </patternFill>
    </fill>
    <fill>
      <patternFill patternType="solid">
        <fgColor rgb="FFFFF2CC"/>
        <bgColor rgb="FFFFF2CC"/>
      </patternFill>
    </fill>
    <fill>
      <patternFill patternType="solid">
        <fgColor rgb="FFCCCCCC"/>
        <bgColor rgb="FFCCCCCC"/>
      </patternFill>
    </fill>
    <fill>
      <patternFill patternType="solid">
        <fgColor rgb="FFEA9999"/>
        <bgColor rgb="FFEA9999"/>
      </patternFill>
    </fill>
    <fill>
      <patternFill patternType="solid">
        <fgColor rgb="FFFFFF00"/>
        <bgColor rgb="FFFFFF00"/>
      </patternFill>
    </fill>
    <fill>
      <patternFill patternType="solid">
        <fgColor rgb="FFF9CB9C"/>
        <bgColor rgb="FFF9CB9C"/>
      </patternFill>
    </fill>
    <fill>
      <patternFill patternType="solid">
        <fgColor rgb="FF000000"/>
        <bgColor rgb="FF000000"/>
      </patternFill>
    </fill>
    <fill>
      <patternFill patternType="solid">
        <fgColor rgb="FF4A86E8"/>
        <bgColor rgb="FF4A86E8"/>
      </patternFill>
    </fill>
    <fill>
      <patternFill patternType="solid">
        <fgColor rgb="FF9900FF"/>
        <bgColor rgb="FF9900FF"/>
      </patternFill>
    </fill>
    <fill>
      <patternFill patternType="solid">
        <fgColor rgb="FF6AA84F"/>
        <bgColor rgb="FF6AA84F"/>
      </patternFill>
    </fill>
    <fill>
      <patternFill patternType="solid">
        <fgColor rgb="FFC6EFCE"/>
      </patternFill>
    </fill>
    <fill>
      <patternFill patternType="solid">
        <fgColor theme="4" tint="-0.249977111117893"/>
        <bgColor indexed="64"/>
      </patternFill>
    </fill>
    <fill>
      <patternFill patternType="solid">
        <fgColor theme="2"/>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theme="5" tint="0.7999816888943144"/>
        <bgColor indexed="64"/>
      </patternFill>
    </fill>
    <fill>
      <patternFill patternType="solid">
        <fgColor rgb="FFFFFF00"/>
        <bgColor indexed="64"/>
      </patternFill>
    </fill>
    <fill>
      <patternFill patternType="solid">
        <fgColor rgb="FF3C78D8"/>
        <bgColor rgb="FF3C78D8"/>
      </patternFill>
    </fill>
    <fill>
      <patternFill patternType="solid">
        <fgColor rgb="FFFF0000"/>
        <bgColor indexed="64"/>
      </patternFill>
    </fill>
    <fill>
      <patternFill patternType="solid">
        <fgColor theme="3" tint="0.7999816888943144"/>
        <bgColor indexed="64"/>
      </patternFill>
    </fill>
    <fill>
      <patternFill patternType="solid">
        <fgColor theme="8"/>
        <bgColor indexed="64"/>
      </patternFill>
    </fill>
    <fill>
      <patternFill patternType="solid">
        <fgColor rgb="FF002060"/>
        <bgColor indexed="64"/>
      </patternFill>
    </fill>
    <fill>
      <patternFill patternType="solid">
        <fgColor theme="0"/>
        <bgColor indexed="64"/>
      </patternFill>
    </fill>
    <fill>
      <patternFill patternType="solid">
        <fgColor rgb="001F4E78"/>
      </patternFill>
    </fill>
    <fill>
      <patternFill patternType="solid">
        <fgColor rgb="00D9EAF7"/>
      </patternFill>
    </fill>
    <fill>
      <patternFill patternType="solid">
        <fgColor rgb="00F2F2F2"/>
      </patternFill>
    </fill>
    <fill>
      <patternFill patternType="solid">
        <fgColor rgb="00E2F0D9"/>
      </patternFill>
    </fill>
    <fill>
      <patternFill patternType="solid">
        <fgColor rgb="00FFF2CC"/>
      </patternFill>
    </fill>
    <fill>
      <patternFill patternType="solid">
        <fgColor rgb="00FAFAFA"/>
      </patternFill>
    </fill>
  </fills>
  <borders count="9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bottom style="hair">
        <color rgb="FF000000"/>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hair">
        <color rgb="FF000000"/>
      </left>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right style="thin">
        <color rgb="FF000000"/>
      </right>
      <top style="thin">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top style="hair">
        <color rgb="FF000000"/>
      </top>
      <bottom/>
      <diagonal/>
    </border>
    <border>
      <left/>
      <right style="hair">
        <color rgb="FF000000"/>
      </right>
      <top style="hair">
        <color rgb="FF000000"/>
      </top>
      <bottom/>
      <diagonal/>
    </border>
    <border>
      <left style="thin">
        <color rgb="00C9C9C9"/>
      </left>
      <right style="thin">
        <color rgb="00C9C9C9"/>
      </right>
      <top style="thin">
        <color rgb="00C9C9C9"/>
      </top>
      <bottom style="thin">
        <color rgb="00C9C9C9"/>
      </bottom>
    </border>
    <border>
      <left style="thin">
        <color rgb="00C9C9C9"/>
      </left>
      <right style="thin">
        <color rgb="00C9C9C9"/>
      </right>
      <top/>
      <bottom style="thin">
        <color rgb="00C9C9C9"/>
      </bottom>
    </border>
    <border>
      <left style="thin">
        <color rgb="00C9C9C9"/>
      </left>
      <right style="thin">
        <color rgb="00C9C9C9"/>
      </right>
      <top/>
      <bottom style="medium">
        <color rgb="001F4E78"/>
      </bottom>
    </border>
    <border>
      <left style="thin">
        <color rgb="00C9C9C9"/>
      </left>
      <right style="thin">
        <color rgb="00C9C9C9"/>
      </right>
      <top style="thin">
        <color rgb="00C9C9C9"/>
      </top>
      <bottom style="medium">
        <color rgb="001F4E78"/>
      </bottom>
    </border>
  </borders>
  <cellStyleXfs count="10">
    <xf numFmtId="0" fontId="47" fillId="0" borderId="28"/>
    <xf numFmtId="0" fontId="6" fillId="0" borderId="28"/>
    <xf numFmtId="44" fontId="6" fillId="0" borderId="28"/>
    <xf numFmtId="43" fontId="6" fillId="0" borderId="28"/>
    <xf numFmtId="9" fontId="6" fillId="0" borderId="28"/>
    <xf numFmtId="0" fontId="23" fillId="17" borderId="28"/>
    <xf numFmtId="0" fontId="46" fillId="0" borderId="28"/>
    <xf numFmtId="9" fontId="47" fillId="0" borderId="28"/>
    <xf numFmtId="168" fontId="47" fillId="0" borderId="28"/>
    <xf numFmtId="0" fontId="53" fillId="0" borderId="28"/>
  </cellStyleXfs>
  <cellXfs count="1142">
    <xf numFmtId="0" fontId="0" fillId="0" borderId="0" pivotButton="0" quotePrefix="0" xfId="0"/>
    <xf numFmtId="0" fontId="7" fillId="0" borderId="0" pivotButton="0" quotePrefix="0" xfId="0"/>
    <xf numFmtId="0" fontId="8" fillId="2" borderId="0" pivotButton="0" quotePrefix="0" xfId="0"/>
    <xf numFmtId="0" fontId="9" fillId="0" borderId="0" pivotButton="0" quotePrefix="0" xfId="0"/>
    <xf numFmtId="0" fontId="10" fillId="0" borderId="0" applyAlignment="1" pivotButton="0" quotePrefix="0" xfId="0">
      <alignment horizontal="center"/>
    </xf>
    <xf numFmtId="0" fontId="11" fillId="0" borderId="0" pivotButton="0" quotePrefix="0" xfId="0"/>
    <xf numFmtId="9" fontId="11" fillId="0" borderId="0" pivotButton="0" quotePrefix="0" xfId="0"/>
    <xf numFmtId="0" fontId="13" fillId="0" borderId="0" pivotButton="0" quotePrefix="0" xfId="0"/>
    <xf numFmtId="0" fontId="15" fillId="0" borderId="0" applyAlignment="1" pivotButton="0" quotePrefix="0" xfId="0">
      <alignment horizontal="center" vertical="center" wrapText="1"/>
    </xf>
    <xf numFmtId="0" fontId="14" fillId="0" borderId="4" pivotButton="0" quotePrefix="0" xfId="0"/>
    <xf numFmtId="0" fontId="8" fillId="0" borderId="4" pivotButton="0" quotePrefix="0" xfId="0"/>
    <xf numFmtId="0" fontId="15" fillId="0" borderId="0" applyAlignment="1" pivotButton="0" quotePrefix="0" xfId="0">
      <alignment horizontal="center" vertical="center" wrapText="1"/>
    </xf>
    <xf numFmtId="0" fontId="16" fillId="0" borderId="4" pivotButton="0" quotePrefix="0" xfId="0"/>
    <xf numFmtId="164" fontId="14" fillId="0" borderId="4" applyAlignment="1" pivotButton="0" quotePrefix="0" xfId="0">
      <alignment horizontal="center" vertical="center" wrapText="1"/>
    </xf>
    <xf numFmtId="0" fontId="9" fillId="0" borderId="4" pivotButton="0" quotePrefix="0" xfId="0"/>
    <xf numFmtId="0" fontId="15" fillId="4" borderId="5" applyAlignment="1" pivotButton="0" quotePrefix="0" xfId="0">
      <alignment horizontal="center" vertical="center" wrapText="1"/>
    </xf>
    <xf numFmtId="0" fontId="15" fillId="4" borderId="5" applyAlignment="1" pivotButton="0" quotePrefix="0" xfId="0">
      <alignment horizontal="center" vertical="center" wrapText="1"/>
    </xf>
    <xf numFmtId="0" fontId="15" fillId="4" borderId="6" applyAlignment="1" pivotButton="0" quotePrefix="0" xfId="0">
      <alignment horizontal="center" vertical="center" wrapText="1"/>
    </xf>
    <xf numFmtId="0" fontId="15" fillId="4" borderId="7" applyAlignment="1" pivotButton="0" quotePrefix="0" xfId="0">
      <alignment horizontal="center" vertical="center" wrapText="1"/>
    </xf>
    <xf numFmtId="0" fontId="15" fillId="4" borderId="8" applyAlignment="1" pivotButton="0" quotePrefix="0" xfId="0">
      <alignment horizontal="center" vertical="center" wrapText="1"/>
    </xf>
    <xf numFmtId="0" fontId="15" fillId="4" borderId="9" applyAlignment="1" pivotButton="0" quotePrefix="0" xfId="0">
      <alignment horizontal="center" vertical="center" wrapText="1"/>
    </xf>
    <xf numFmtId="0" fontId="15" fillId="4" borderId="10" applyAlignment="1" pivotButton="0" quotePrefix="0" xfId="0">
      <alignment horizontal="center" vertical="center" wrapText="1"/>
    </xf>
    <xf numFmtId="0" fontId="15" fillId="4" borderId="11" applyAlignment="1" pivotButton="0" quotePrefix="0" xfId="0">
      <alignment horizontal="center" vertical="center" wrapText="1"/>
    </xf>
    <xf numFmtId="0" fontId="15" fillId="4" borderId="12" applyAlignment="1" pivotButton="0" quotePrefix="0" xfId="0">
      <alignment horizontal="center" vertical="center" wrapText="1"/>
    </xf>
    <xf numFmtId="0" fontId="15" fillId="4" borderId="13" applyAlignment="1" pivotButton="0" quotePrefix="0" xfId="0">
      <alignment horizontal="center" vertical="center" wrapText="1"/>
    </xf>
    <xf numFmtId="0" fontId="15" fillId="4" borderId="8" applyAlignment="1" pivotButton="0" quotePrefix="0" xfId="0">
      <alignment horizontal="center" vertical="center" wrapText="1"/>
    </xf>
    <xf numFmtId="0" fontId="15" fillId="4" borderId="9" applyAlignment="1" pivotButton="0" quotePrefix="0" xfId="0">
      <alignment horizontal="center" vertical="center" wrapText="1"/>
    </xf>
    <xf numFmtId="0" fontId="0" fillId="5" borderId="14" applyAlignment="1" pivotButton="0" quotePrefix="0" xfId="0">
      <alignment horizontal="center"/>
    </xf>
    <xf numFmtId="0" fontId="11" fillId="0" borderId="0" pivotButton="0" quotePrefix="0" xfId="0"/>
    <xf numFmtId="0" fontId="0" fillId="6" borderId="14" applyAlignment="1" pivotButton="0" quotePrefix="0" xfId="0">
      <alignment horizontal="center"/>
    </xf>
    <xf numFmtId="0" fontId="0" fillId="5" borderId="15" applyAlignment="1" pivotButton="0" quotePrefix="0" xfId="0">
      <alignment horizontal="center"/>
    </xf>
    <xf numFmtId="165" fontId="0" fillId="0" borderId="16" pivotButton="0" quotePrefix="0" xfId="0"/>
    <xf numFmtId="4" fontId="11" fillId="0" borderId="17" pivotButton="0" quotePrefix="0" xfId="0"/>
    <xf numFmtId="165" fontId="0" fillId="0" borderId="17" pivotButton="0" quotePrefix="0" xfId="0"/>
    <xf numFmtId="4" fontId="11" fillId="0" borderId="18" pivotButton="0" quotePrefix="0" xfId="0"/>
    <xf numFmtId="0" fontId="0" fillId="5" borderId="18" applyAlignment="1" pivotButton="0" quotePrefix="0" xfId="0">
      <alignment horizontal="center"/>
    </xf>
    <xf numFmtId="4" fontId="11" fillId="0" borderId="16" pivotButton="0" quotePrefix="0" xfId="0"/>
    <xf numFmtId="14" fontId="0" fillId="5" borderId="15" applyAlignment="1" pivotButton="0" quotePrefix="0" xfId="0">
      <alignment horizontal="center"/>
    </xf>
    <xf numFmtId="4" fontId="11" fillId="0" borderId="19" pivotButton="0" quotePrefix="0" xfId="0"/>
    <xf numFmtId="165" fontId="0" fillId="5" borderId="20" applyAlignment="1" pivotButton="0" quotePrefix="0" xfId="0">
      <alignment horizontal="center"/>
    </xf>
    <xf numFmtId="0" fontId="0" fillId="5" borderId="17" applyAlignment="1" pivotButton="0" quotePrefix="0" xfId="0">
      <alignment horizontal="center"/>
    </xf>
    <xf numFmtId="4" fontId="11" fillId="0" borderId="21" pivotButton="0" quotePrefix="0" xfId="0"/>
    <xf numFmtId="14" fontId="0" fillId="5" borderId="18" applyAlignment="1" pivotButton="0" quotePrefix="0" xfId="0">
      <alignment horizontal="center"/>
    </xf>
    <xf numFmtId="14" fontId="0" fillId="5" borderId="17" applyAlignment="1" pivotButton="0" quotePrefix="0" xfId="0">
      <alignment horizontal="center"/>
    </xf>
    <xf numFmtId="165" fontId="0" fillId="5" borderId="22" applyAlignment="1" pivotButton="0" quotePrefix="0" xfId="0">
      <alignment horizontal="center"/>
    </xf>
    <xf numFmtId="0" fontId="0" fillId="5" borderId="15" applyAlignment="1" pivotButton="0" quotePrefix="0" xfId="0">
      <alignment horizontal="left"/>
    </xf>
    <xf numFmtId="0" fontId="0" fillId="5" borderId="14" applyAlignment="1" pivotButton="0" quotePrefix="0" xfId="0">
      <alignment horizontal="left" wrapText="1"/>
    </xf>
    <xf numFmtId="0" fontId="0" fillId="7" borderId="17" applyAlignment="1" pivotButton="0" quotePrefix="0" xfId="0">
      <alignment horizontal="center"/>
    </xf>
    <xf numFmtId="0" fontId="0" fillId="8" borderId="17" applyAlignment="1" pivotButton="0" quotePrefix="0" xfId="0">
      <alignment horizontal="center"/>
    </xf>
    <xf numFmtId="0" fontId="0" fillId="8" borderId="17" applyAlignment="1" pivotButton="0" quotePrefix="1" xfId="0">
      <alignment horizontal="center"/>
    </xf>
    <xf numFmtId="0" fontId="0" fillId="0" borderId="0" pivotButton="0" quotePrefix="0" xfId="0"/>
    <xf numFmtId="0" fontId="17" fillId="0" borderId="0" pivotButton="0" quotePrefix="0" xfId="0"/>
    <xf numFmtId="0" fontId="14" fillId="0" borderId="23" pivotButton="0" quotePrefix="0" xfId="0"/>
    <xf numFmtId="0" fontId="14" fillId="0" borderId="24" pivotButton="0" quotePrefix="0" xfId="0"/>
    <xf numFmtId="0" fontId="15" fillId="4" borderId="25" applyAlignment="1" pivotButton="0" quotePrefix="0" xfId="0">
      <alignment horizontal="center" vertical="center" wrapText="1"/>
    </xf>
    <xf numFmtId="0" fontId="15" fillId="4" borderId="29" applyAlignment="1" pivotButton="0" quotePrefix="0" xfId="0">
      <alignment horizontal="center" vertical="center" wrapText="1"/>
    </xf>
    <xf numFmtId="165" fontId="0" fillId="5" borderId="16" applyAlignment="1" pivotButton="0" quotePrefix="0" xfId="0">
      <alignment horizontal="center"/>
    </xf>
    <xf numFmtId="165" fontId="11" fillId="5" borderId="17" applyAlignment="1" pivotButton="0" quotePrefix="0" xfId="0">
      <alignment horizontal="center"/>
    </xf>
    <xf numFmtId="165" fontId="0" fillId="5" borderId="18" applyAlignment="1" pivotButton="0" quotePrefix="0" xfId="0">
      <alignment horizontal="center"/>
    </xf>
    <xf numFmtId="165" fontId="0" fillId="5" borderId="17" applyAlignment="1" pivotButton="0" quotePrefix="0" xfId="0">
      <alignment horizontal="center"/>
    </xf>
    <xf numFmtId="0" fontId="11" fillId="5" borderId="17" applyAlignment="1" pivotButton="0" quotePrefix="0" xfId="0">
      <alignment horizontal="center"/>
    </xf>
    <xf numFmtId="0" fontId="11" fillId="9" borderId="0" pivotButton="0" quotePrefix="0" xfId="0"/>
    <xf numFmtId="0" fontId="11" fillId="9" borderId="0" pivotButton="0" quotePrefix="0" xfId="0"/>
    <xf numFmtId="165" fontId="11" fillId="5" borderId="16" applyAlignment="1" pivotButton="0" quotePrefix="0" xfId="0">
      <alignment horizontal="center"/>
    </xf>
    <xf numFmtId="4" fontId="11" fillId="9" borderId="17" pivotButton="0" quotePrefix="0" xfId="0"/>
    <xf numFmtId="4" fontId="11" fillId="9" borderId="18" pivotButton="0" quotePrefix="0" xfId="0"/>
    <xf numFmtId="0" fontId="0" fillId="5" borderId="17" applyAlignment="1" pivotButton="0" quotePrefix="0" xfId="0">
      <alignment horizontal="center"/>
    </xf>
    <xf numFmtId="4" fontId="11" fillId="9" borderId="16" pivotButton="0" quotePrefix="0" xfId="0"/>
    <xf numFmtId="165" fontId="0" fillId="5" borderId="18" applyAlignment="1" pivotButton="0" quotePrefix="0" xfId="0">
      <alignment horizontal="center"/>
    </xf>
    <xf numFmtId="165" fontId="0" fillId="5" borderId="16" applyAlignment="1" pivotButton="0" quotePrefix="0" xfId="0">
      <alignment horizontal="center"/>
    </xf>
    <xf numFmtId="165" fontId="0" fillId="5" borderId="17" applyAlignment="1" pivotButton="0" quotePrefix="0" xfId="0">
      <alignment horizontal="center"/>
    </xf>
    <xf numFmtId="4" fontId="11" fillId="9" borderId="19" pivotButton="0" quotePrefix="0" xfId="0"/>
    <xf numFmtId="165" fontId="0" fillId="5" borderId="30" applyAlignment="1" pivotButton="0" quotePrefix="0" xfId="0">
      <alignment horizontal="center"/>
    </xf>
    <xf numFmtId="4" fontId="11" fillId="9" borderId="21" pivotButton="0" quotePrefix="0" xfId="0"/>
    <xf numFmtId="165" fontId="0" fillId="5" borderId="31" applyAlignment="1" pivotButton="0" quotePrefix="0" xfId="0">
      <alignment horizontal="center"/>
    </xf>
    <xf numFmtId="165" fontId="0" fillId="5" borderId="32" applyAlignment="1" pivotButton="0" quotePrefix="0" xfId="0">
      <alignment horizontal="center"/>
    </xf>
    <xf numFmtId="0" fontId="0" fillId="5" borderId="18" applyAlignment="1" pivotButton="0" quotePrefix="0" xfId="0">
      <alignment horizontal="center"/>
    </xf>
    <xf numFmtId="0" fontId="0" fillId="5" borderId="17" applyAlignment="1" pivotButton="0" quotePrefix="0" xfId="0">
      <alignment horizontal="center"/>
    </xf>
    <xf numFmtId="0" fontId="9" fillId="0" borderId="24" pivotButton="0" quotePrefix="0" xfId="0"/>
    <xf numFmtId="165" fontId="0" fillId="5" borderId="22" applyAlignment="1" pivotButton="0" quotePrefix="0" xfId="0">
      <alignment horizontal="center"/>
    </xf>
    <xf numFmtId="0" fontId="9" fillId="0" borderId="23" pivotButton="0" quotePrefix="0" xfId="0"/>
    <xf numFmtId="165" fontId="14" fillId="0" borderId="23" pivotButton="0" quotePrefix="0" xfId="0"/>
    <xf numFmtId="165" fontId="14" fillId="0" borderId="24" pivotButton="0" quotePrefix="0" xfId="0"/>
    <xf numFmtId="4" fontId="11" fillId="0" borderId="17" pivotButton="0" quotePrefix="0" xfId="0"/>
    <xf numFmtId="0" fontId="8" fillId="0" borderId="0" applyAlignment="1" pivotButton="0" quotePrefix="0" xfId="0">
      <alignment horizontal="left"/>
    </xf>
    <xf numFmtId="0" fontId="18" fillId="0" borderId="0" pivotButton="0" quotePrefix="0" xfId="0"/>
    <xf numFmtId="0" fontId="0" fillId="5" borderId="22" applyAlignment="1" pivotButton="0" quotePrefix="0" xfId="0">
      <alignment horizontal="center"/>
    </xf>
    <xf numFmtId="0" fontId="0" fillId="5" borderId="21" applyAlignment="1" pivotButton="0" quotePrefix="0" xfId="0">
      <alignment horizontal="center"/>
    </xf>
    <xf numFmtId="0" fontId="15" fillId="0" borderId="0" applyAlignment="1" pivotButton="0" quotePrefix="0" xfId="0">
      <alignment horizontal="left" vertical="center" wrapText="1"/>
    </xf>
    <xf numFmtId="165" fontId="0" fillId="5" borderId="18" applyAlignment="1" pivotButton="0" quotePrefix="0" xfId="0">
      <alignment horizontal="center" wrapText="1"/>
    </xf>
    <xf numFmtId="0" fontId="15" fillId="4" borderId="5" applyAlignment="1" pivotButton="0" quotePrefix="0" xfId="0">
      <alignment horizontal="left" vertical="center" wrapText="1"/>
    </xf>
    <xf numFmtId="0" fontId="14" fillId="10" borderId="17" applyAlignment="1" pivotButton="0" quotePrefix="0" xfId="0">
      <alignment horizontal="left"/>
    </xf>
    <xf numFmtId="0" fontId="0" fillId="11" borderId="18" applyAlignment="1" pivotButton="0" quotePrefix="0" xfId="0">
      <alignment horizontal="center"/>
    </xf>
    <xf numFmtId="0" fontId="0" fillId="11" borderId="17" applyAlignment="1" pivotButton="0" quotePrefix="0" xfId="0">
      <alignment horizontal="center"/>
    </xf>
    <xf numFmtId="14" fontId="0" fillId="11" borderId="17" applyAlignment="1" pivotButton="0" quotePrefix="0" xfId="0">
      <alignment horizontal="center"/>
    </xf>
    <xf numFmtId="0" fontId="0" fillId="6" borderId="17" applyAlignment="1" pivotButton="0" quotePrefix="0" xfId="0">
      <alignment horizontal="center"/>
    </xf>
    <xf numFmtId="165" fontId="0" fillId="11" borderId="16" pivotButton="0" quotePrefix="0" xfId="0"/>
    <xf numFmtId="4" fontId="11" fillId="0" borderId="32" pivotButton="0" quotePrefix="0" xfId="0"/>
    <xf numFmtId="165" fontId="0" fillId="11" borderId="17" pivotButton="0" quotePrefix="0" xfId="0"/>
    <xf numFmtId="4" fontId="11" fillId="0" borderId="30" pivotButton="0" quotePrefix="0" xfId="0"/>
    <xf numFmtId="0" fontId="0" fillId="12" borderId="17" applyAlignment="1" pivotButton="0" quotePrefix="0" xfId="0">
      <alignment horizontal="left"/>
    </xf>
    <xf numFmtId="4" fontId="11" fillId="0" borderId="31" pivotButton="0" quotePrefix="0" xfId="0"/>
    <xf numFmtId="4" fontId="11" fillId="0" borderId="33" pivotButton="0" quotePrefix="0" xfId="0"/>
    <xf numFmtId="0" fontId="14" fillId="0" borderId="0" pivotButton="0" quotePrefix="0" xfId="0"/>
    <xf numFmtId="0" fontId="16" fillId="0" borderId="0" pivotButton="0" quotePrefix="0" xfId="0"/>
    <xf numFmtId="4" fontId="9" fillId="0" borderId="24" pivotButton="0" quotePrefix="0" xfId="0"/>
    <xf numFmtId="4" fontId="9" fillId="0" borderId="23" pivotButton="0" quotePrefix="0" xfId="0"/>
    <xf numFmtId="4" fontId="9" fillId="0" borderId="34" pivotButton="0" quotePrefix="0" xfId="0"/>
    <xf numFmtId="165" fontId="9" fillId="0" borderId="24" pivotButton="0" quotePrefix="0" xfId="0"/>
    <xf numFmtId="165" fontId="9" fillId="0" borderId="23" pivotButton="0" quotePrefix="0" xfId="0"/>
    <xf numFmtId="0" fontId="15" fillId="4" borderId="25" applyAlignment="1" pivotButton="0" quotePrefix="0" xfId="0">
      <alignment horizontal="left" vertical="center" wrapText="1"/>
    </xf>
    <xf numFmtId="0" fontId="14" fillId="0" borderId="4" pivotButton="0" quotePrefix="0" xfId="0"/>
    <xf numFmtId="0" fontId="11" fillId="0" borderId="4" pivotButton="0" quotePrefix="0" xfId="0"/>
    <xf numFmtId="0" fontId="0" fillId="5" borderId="17" applyAlignment="1" pivotButton="0" quotePrefix="0" xfId="0">
      <alignment horizontal="left"/>
    </xf>
    <xf numFmtId="165" fontId="11" fillId="0" borderId="17" pivotButton="0" quotePrefix="0" xfId="0"/>
    <xf numFmtId="165" fontId="11" fillId="0" borderId="18" pivotButton="0" quotePrefix="0" xfId="0"/>
    <xf numFmtId="165" fontId="11" fillId="0" borderId="16" pivotButton="0" quotePrefix="0" xfId="0"/>
    <xf numFmtId="165" fontId="11" fillId="0" borderId="19" pivotButton="0" quotePrefix="0" xfId="0"/>
    <xf numFmtId="165" fontId="11" fillId="0" borderId="21" pivotButton="0" quotePrefix="0" xfId="0"/>
    <xf numFmtId="0" fontId="0" fillId="5" borderId="17" applyAlignment="1" pivotButton="0" quotePrefix="0" xfId="0">
      <alignment horizontal="left"/>
    </xf>
    <xf numFmtId="3" fontId="11" fillId="0" borderId="17" pivotButton="0" quotePrefix="0" xfId="0"/>
    <xf numFmtId="3" fontId="11" fillId="0" borderId="19" pivotButton="0" quotePrefix="0" xfId="0"/>
    <xf numFmtId="165" fontId="11" fillId="9" borderId="17" pivotButton="0" quotePrefix="0" xfId="0"/>
    <xf numFmtId="165" fontId="11" fillId="9" borderId="18" pivotButton="0" quotePrefix="0" xfId="0"/>
    <xf numFmtId="165" fontId="11" fillId="9" borderId="16" pivotButton="0" quotePrefix="0" xfId="0"/>
    <xf numFmtId="165" fontId="11" fillId="9" borderId="19" pivotButton="0" quotePrefix="0" xfId="0"/>
    <xf numFmtId="165" fontId="11" fillId="9" borderId="21" pivotButton="0" quotePrefix="0" xfId="0"/>
    <xf numFmtId="0" fontId="11" fillId="0" borderId="0" applyAlignment="1" pivotButton="0" quotePrefix="0" xfId="0">
      <alignment wrapText="1"/>
    </xf>
    <xf numFmtId="165" fontId="11" fillId="0" borderId="35" pivotButton="0" quotePrefix="0" xfId="0"/>
    <xf numFmtId="165" fontId="0" fillId="5" borderId="18" applyAlignment="1" pivotButton="0" quotePrefix="0" xfId="0">
      <alignment horizontal="left"/>
    </xf>
    <xf numFmtId="165" fontId="11" fillId="0" borderId="35" pivotButton="0" quotePrefix="0" xfId="0"/>
    <xf numFmtId="165" fontId="11" fillId="0" borderId="36" pivotButton="0" quotePrefix="0" xfId="0"/>
    <xf numFmtId="165" fontId="11" fillId="0" borderId="37" pivotButton="0" quotePrefix="0" xfId="0"/>
    <xf numFmtId="165" fontId="11" fillId="0" borderId="38" pivotButton="0" quotePrefix="0" xfId="0"/>
    <xf numFmtId="165" fontId="11" fillId="0" borderId="39" pivotButton="0" quotePrefix="0" xfId="0"/>
    <xf numFmtId="0" fontId="16" fillId="0" borderId="0" pivotButton="0" quotePrefix="0" xfId="0"/>
    <xf numFmtId="166" fontId="9" fillId="0" borderId="0" applyAlignment="1" pivotButton="0" quotePrefix="0" xfId="0">
      <alignment horizontal="right"/>
    </xf>
    <xf numFmtId="166" fontId="9" fillId="0" borderId="0" pivotButton="0" quotePrefix="0" xfId="0"/>
    <xf numFmtId="166" fontId="9" fillId="0" borderId="40" applyAlignment="1" pivotButton="0" quotePrefix="0" xfId="0">
      <alignment horizontal="right"/>
    </xf>
    <xf numFmtId="166" fontId="9" fillId="0" borderId="41" applyAlignment="1" pivotButton="0" quotePrefix="0" xfId="0">
      <alignment horizontal="right"/>
    </xf>
    <xf numFmtId="0" fontId="8" fillId="0" borderId="0" pivotButton="0" quotePrefix="0" xfId="0"/>
    <xf numFmtId="0" fontId="19" fillId="0" borderId="3" pivotButton="0" quotePrefix="0" xfId="0"/>
    <xf numFmtId="0" fontId="20" fillId="0" borderId="3" pivotButton="0" quotePrefix="0" xfId="0"/>
    <xf numFmtId="166" fontId="20" fillId="0" borderId="3" pivotButton="0" quotePrefix="0" xfId="0"/>
    <xf numFmtId="166" fontId="20" fillId="0" borderId="1" pivotButton="0" quotePrefix="0" xfId="0"/>
    <xf numFmtId="166" fontId="20" fillId="0" borderId="2" pivotButton="0" quotePrefix="0" xfId="0"/>
    <xf numFmtId="0" fontId="21" fillId="0" borderId="0" pivotButton="0" quotePrefix="0" xfId="0"/>
    <xf numFmtId="0" fontId="21" fillId="0" borderId="0" pivotButton="0" quotePrefix="0" xfId="0"/>
    <xf numFmtId="0" fontId="0" fillId="5" borderId="18" applyAlignment="1" pivotButton="0" quotePrefix="0" xfId="0">
      <alignment horizontal="left" wrapText="1"/>
    </xf>
    <xf numFmtId="0" fontId="0" fillId="5" borderId="22" applyAlignment="1" pivotButton="0" quotePrefix="0" xfId="0">
      <alignment horizontal="left" wrapText="1"/>
    </xf>
    <xf numFmtId="0" fontId="0" fillId="5" borderId="21" applyAlignment="1" pivotButton="0" quotePrefix="0" xfId="0">
      <alignment horizontal="left" wrapText="1"/>
    </xf>
    <xf numFmtId="0" fontId="0" fillId="5" borderId="14" applyAlignment="1" pivotButton="0" quotePrefix="0" xfId="0">
      <alignment horizontal="left"/>
    </xf>
    <xf numFmtId="0" fontId="0" fillId="5" borderId="17" applyAlignment="1" pivotButton="0" quotePrefix="0" xfId="0">
      <alignment horizontal="left" wrapText="1"/>
    </xf>
    <xf numFmtId="0" fontId="11" fillId="5" borderId="17" applyAlignment="1" pivotButton="0" quotePrefix="0" xfId="0">
      <alignment horizontal="left"/>
    </xf>
    <xf numFmtId="0" fontId="0" fillId="5" borderId="17" applyAlignment="1" pivotButton="0" quotePrefix="0" xfId="0">
      <alignment horizontal="center" wrapText="1"/>
    </xf>
    <xf numFmtId="0" fontId="11" fillId="5" borderId="17" applyAlignment="1" pivotButton="0" quotePrefix="0" xfId="0">
      <alignment horizontal="center" wrapText="1"/>
    </xf>
    <xf numFmtId="0" fontId="0" fillId="5" borderId="17" applyAlignment="1" pivotButton="0" quotePrefix="0" xfId="0">
      <alignment horizontal="center" wrapText="1"/>
    </xf>
    <xf numFmtId="0" fontId="22" fillId="14" borderId="2" applyAlignment="1" pivotButton="0" quotePrefix="0" xfId="0">
      <alignment horizontal="center"/>
    </xf>
    <xf numFmtId="0" fontId="9" fillId="0" borderId="42" pivotButton="0" quotePrefix="0" xfId="0"/>
    <xf numFmtId="0" fontId="8" fillId="0" borderId="42" applyAlignment="1" pivotButton="0" quotePrefix="0" xfId="0">
      <alignment horizontal="center"/>
    </xf>
    <xf numFmtId="0" fontId="8" fillId="0" borderId="42" applyAlignment="1" pivotButton="0" quotePrefix="0" xfId="0">
      <alignment horizontal="right"/>
    </xf>
    <xf numFmtId="0" fontId="8" fillId="0" borderId="42" pivotButton="0" quotePrefix="0" xfId="0"/>
    <xf numFmtId="0" fontId="8" fillId="0" borderId="42" pivotButton="0" quotePrefix="0" xfId="0"/>
    <xf numFmtId="0" fontId="26" fillId="0" borderId="28" applyAlignment="1" pivotButton="0" quotePrefix="0" xfId="1">
      <alignment horizontal="left" vertical="top"/>
    </xf>
    <xf numFmtId="0" fontId="27" fillId="0" borderId="28" applyAlignment="1" pivotButton="0" quotePrefix="0" xfId="1">
      <alignment vertical="top"/>
    </xf>
    <xf numFmtId="0" fontId="6" fillId="0" borderId="28" applyAlignment="1" pivotButton="0" quotePrefix="0" xfId="1">
      <alignment horizontal="center" vertical="top"/>
    </xf>
    <xf numFmtId="0" fontId="6" fillId="0" borderId="28" applyAlignment="1" pivotButton="0" quotePrefix="0" xfId="1">
      <alignment vertical="top"/>
    </xf>
    <xf numFmtId="0" fontId="24" fillId="0" borderId="28" applyAlignment="1" pivotButton="0" quotePrefix="0" xfId="1">
      <alignment horizontal="left" vertical="top"/>
    </xf>
    <xf numFmtId="0" fontId="6" fillId="0" borderId="28" applyAlignment="1" pivotButton="0" quotePrefix="0" xfId="1">
      <alignment horizontal="center" vertical="top"/>
    </xf>
    <xf numFmtId="0" fontId="28" fillId="0" borderId="28" applyAlignment="1" pivotButton="0" quotePrefix="0" xfId="1">
      <alignment vertical="top"/>
    </xf>
    <xf numFmtId="0" fontId="24" fillId="0" borderId="28" applyAlignment="1" pivotButton="0" quotePrefix="0" xfId="1">
      <alignment vertical="top"/>
    </xf>
    <xf numFmtId="0" fontId="6" fillId="0" borderId="43" applyAlignment="1" pivotButton="0" quotePrefix="0" xfId="1">
      <alignment vertical="top"/>
    </xf>
    <xf numFmtId="0" fontId="29" fillId="0" borderId="44" applyAlignment="1" pivotButton="0" quotePrefix="0" xfId="1">
      <alignment horizontal="center" vertical="top"/>
    </xf>
    <xf numFmtId="0" fontId="29" fillId="0" borderId="44" applyAlignment="1" pivotButton="0" quotePrefix="0" xfId="1">
      <alignment vertical="top"/>
    </xf>
    <xf numFmtId="0" fontId="30" fillId="18" borderId="48" applyAlignment="1" pivotButton="0" quotePrefix="0" xfId="1">
      <alignment horizontal="center" vertical="top"/>
    </xf>
    <xf numFmtId="0" fontId="30" fillId="0" borderId="28" applyAlignment="1" pivotButton="0" quotePrefix="0" xfId="1">
      <alignment horizontal="center" vertical="top"/>
    </xf>
    <xf numFmtId="0" fontId="24" fillId="0" borderId="28" applyAlignment="1" pivotButton="0" quotePrefix="0" xfId="1">
      <alignment vertical="top"/>
    </xf>
    <xf numFmtId="0" fontId="31" fillId="0" borderId="49" applyAlignment="1" pivotButton="0" quotePrefix="0" xfId="1">
      <alignment vertical="top"/>
    </xf>
    <xf numFmtId="165" fontId="25" fillId="0" borderId="28" applyAlignment="1" pivotButton="0" quotePrefix="0" xfId="2">
      <alignment horizontal="center" vertical="top"/>
    </xf>
    <xf numFmtId="0" fontId="6" fillId="0" borderId="28" applyAlignment="1" pivotButton="0" quotePrefix="0" xfId="1">
      <alignment vertical="top"/>
    </xf>
    <xf numFmtId="0" fontId="25" fillId="19" borderId="50" applyAlignment="1" pivotButton="0" quotePrefix="0" xfId="1">
      <alignment horizontal="center" vertical="top"/>
    </xf>
    <xf numFmtId="0" fontId="25" fillId="19" borderId="51" applyAlignment="1" pivotButton="0" quotePrefix="0" xfId="1">
      <alignment horizontal="center" vertical="top"/>
    </xf>
    <xf numFmtId="0" fontId="25" fillId="19" borderId="52" applyAlignment="1" pivotButton="0" quotePrefix="0" xfId="1">
      <alignment horizontal="center" vertical="top"/>
    </xf>
    <xf numFmtId="0" fontId="25" fillId="19" borderId="28" applyAlignment="1" pivotButton="0" quotePrefix="0" xfId="1">
      <alignment horizontal="center" vertical="top"/>
    </xf>
    <xf numFmtId="0" fontId="25" fillId="19" borderId="53" applyAlignment="1" pivotButton="0" quotePrefix="0" xfId="1">
      <alignment horizontal="center" vertical="top"/>
    </xf>
    <xf numFmtId="0" fontId="25" fillId="19" borderId="54" applyAlignment="1" pivotButton="0" quotePrefix="0" xfId="1">
      <alignment horizontal="center" vertical="top"/>
    </xf>
    <xf numFmtId="0" fontId="25" fillId="19" borderId="55" applyAlignment="1" pivotButton="0" quotePrefix="0" xfId="1">
      <alignment horizontal="center" vertical="top"/>
    </xf>
    <xf numFmtId="0" fontId="25" fillId="0" borderId="28" applyAlignment="1" pivotButton="0" quotePrefix="0" xfId="1">
      <alignment horizontal="center" vertical="top"/>
    </xf>
    <xf numFmtId="0" fontId="32" fillId="0" borderId="28" applyAlignment="1" pivotButton="0" quotePrefix="0" xfId="1">
      <alignment vertical="top"/>
    </xf>
    <xf numFmtId="0" fontId="32" fillId="0" borderId="49" applyAlignment="1" pivotButton="0" quotePrefix="0" xfId="1">
      <alignment vertical="top"/>
    </xf>
    <xf numFmtId="0" fontId="33" fillId="0" borderId="28" applyAlignment="1" pivotButton="0" quotePrefix="0" xfId="1">
      <alignment horizontal="center" vertical="top"/>
    </xf>
    <xf numFmtId="167" fontId="34" fillId="0" borderId="28" applyAlignment="1" pivotButton="0" quotePrefix="0" xfId="3">
      <alignment horizontal="center" vertical="top"/>
    </xf>
    <xf numFmtId="167" fontId="34" fillId="0" borderId="56" applyAlignment="1" pivotButton="0" quotePrefix="0" xfId="3">
      <alignment horizontal="center" vertical="top"/>
    </xf>
    <xf numFmtId="167" fontId="34" fillId="0" borderId="49" applyAlignment="1" pivotButton="0" quotePrefix="0" xfId="3">
      <alignment horizontal="center" vertical="top"/>
    </xf>
    <xf numFmtId="167" fontId="34" fillId="0" borderId="53" applyAlignment="1" pivotButton="0" quotePrefix="0" xfId="3">
      <alignment horizontal="center" vertical="top"/>
    </xf>
    <xf numFmtId="0" fontId="6" fillId="0" borderId="28" applyAlignment="1" pivotButton="0" quotePrefix="0" xfId="1">
      <alignment vertical="top"/>
    </xf>
    <xf numFmtId="0" fontId="25" fillId="19" borderId="58" applyAlignment="1" pivotButton="0" quotePrefix="0" xfId="1">
      <alignment vertical="top"/>
    </xf>
    <xf numFmtId="0" fontId="35" fillId="19" borderId="59" applyAlignment="1" pivotButton="0" quotePrefix="0" xfId="1">
      <alignment horizontal="center" vertical="top"/>
    </xf>
    <xf numFmtId="167" fontId="34" fillId="19" borderId="59" applyAlignment="1" pivotButton="0" quotePrefix="0" xfId="3">
      <alignment horizontal="center" vertical="top"/>
    </xf>
    <xf numFmtId="167" fontId="34" fillId="19" borderId="60" applyAlignment="1" pivotButton="0" quotePrefix="0" xfId="3">
      <alignment horizontal="center" vertical="top"/>
    </xf>
    <xf numFmtId="0" fontId="36" fillId="0" borderId="49" applyAlignment="1" pivotButton="0" quotePrefix="0" xfId="1">
      <alignment vertical="top"/>
    </xf>
    <xf numFmtId="0" fontId="35" fillId="0" borderId="28" applyAlignment="1" pivotButton="0" quotePrefix="0" xfId="1">
      <alignment horizontal="center" vertical="top"/>
    </xf>
    <xf numFmtId="0" fontId="25" fillId="0" borderId="28" applyAlignment="1" pivotButton="0" quotePrefix="0" xfId="1">
      <alignment vertical="top"/>
    </xf>
    <xf numFmtId="0" fontId="6" fillId="0" borderId="49" applyAlignment="1" pivotButton="0" quotePrefix="0" xfId="1">
      <alignment horizontal="left" vertical="top"/>
    </xf>
    <xf numFmtId="165" fontId="6" fillId="0" borderId="28" applyAlignment="1" pivotButton="0" quotePrefix="0" xfId="2">
      <alignment horizontal="center" vertical="top"/>
    </xf>
    <xf numFmtId="165" fontId="25" fillId="0" borderId="56" applyAlignment="1" pivotButton="0" quotePrefix="0" xfId="2">
      <alignment horizontal="center" vertical="top"/>
    </xf>
    <xf numFmtId="165" fontId="32" fillId="20" borderId="62" applyAlignment="1" pivotButton="0" quotePrefix="0" xfId="2">
      <alignment horizontal="center" vertical="top"/>
    </xf>
    <xf numFmtId="165" fontId="37" fillId="20" borderId="63" applyAlignment="1" pivotButton="0" quotePrefix="0" xfId="2">
      <alignment horizontal="center" vertical="top"/>
    </xf>
    <xf numFmtId="165" fontId="25" fillId="20" borderId="56" applyAlignment="1" pivotButton="0" quotePrefix="0" xfId="2">
      <alignment horizontal="center" vertical="top"/>
    </xf>
    <xf numFmtId="165" fontId="25" fillId="20" borderId="28" applyAlignment="1" pivotButton="0" quotePrefix="0" xfId="2">
      <alignment horizontal="center" vertical="top"/>
    </xf>
    <xf numFmtId="165" fontId="25" fillId="20" borderId="63" applyAlignment="1" pivotButton="0" quotePrefix="0" xfId="2">
      <alignment horizontal="center" vertical="top"/>
    </xf>
    <xf numFmtId="165" fontId="37" fillId="0" borderId="28" applyAlignment="1" pivotButton="0" quotePrefix="0" xfId="2">
      <alignment horizontal="center" vertical="top"/>
    </xf>
    <xf numFmtId="0" fontId="32" fillId="0" borderId="28" applyAlignment="1" pivotButton="0" quotePrefix="0" xfId="1">
      <alignment vertical="top"/>
    </xf>
    <xf numFmtId="165" fontId="6" fillId="20" borderId="56" applyAlignment="1" pivotButton="0" quotePrefix="0" xfId="2">
      <alignment horizontal="center" vertical="top"/>
    </xf>
    <xf numFmtId="165" fontId="6" fillId="20" borderId="28" applyAlignment="1" pivotButton="0" quotePrefix="0" xfId="2">
      <alignment horizontal="center" vertical="top"/>
    </xf>
    <xf numFmtId="0" fontId="24" fillId="0" borderId="28" applyAlignment="1" pivotButton="0" quotePrefix="0" xfId="1">
      <alignment horizontal="left" vertical="top" wrapText="1"/>
    </xf>
    <xf numFmtId="0" fontId="24" fillId="0" borderId="28" applyAlignment="1" pivotButton="0" quotePrefix="0" xfId="1">
      <alignment vertical="top"/>
    </xf>
    <xf numFmtId="165" fontId="25" fillId="0" borderId="56" applyAlignment="1" pivotButton="0" quotePrefix="0" xfId="2">
      <alignment horizontal="center" vertical="top"/>
    </xf>
    <xf numFmtId="0" fontId="28" fillId="0" borderId="28" applyAlignment="1" pivotButton="0" quotePrefix="0" xfId="1">
      <alignment vertical="top"/>
    </xf>
    <xf numFmtId="0" fontId="35" fillId="0" borderId="49" applyAlignment="1" pivotButton="0" quotePrefix="0" xfId="1">
      <alignment horizontal="left" vertical="top"/>
    </xf>
    <xf numFmtId="165" fontId="32" fillId="0" borderId="62" applyAlignment="1" pivotButton="0" quotePrefix="0" xfId="2">
      <alignment horizontal="center" vertical="top"/>
    </xf>
    <xf numFmtId="165" fontId="25" fillId="0" borderId="63" applyAlignment="1" pivotButton="0" quotePrefix="0" xfId="2">
      <alignment horizontal="center" vertical="top"/>
    </xf>
    <xf numFmtId="165" fontId="6" fillId="0" borderId="56" applyAlignment="1" pivotButton="0" quotePrefix="0" xfId="2">
      <alignment horizontal="center" vertical="top"/>
    </xf>
    <xf numFmtId="165" fontId="6" fillId="0" borderId="28" applyAlignment="1" pivotButton="0" quotePrefix="0" xfId="2">
      <alignment horizontal="center" vertical="top"/>
    </xf>
    <xf numFmtId="165" fontId="25" fillId="0" borderId="28" applyAlignment="1" pivotButton="0" quotePrefix="0" xfId="2">
      <alignment horizontal="center" vertical="top"/>
    </xf>
    <xf numFmtId="0" fontId="38" fillId="0" borderId="28" applyAlignment="1" pivotButton="0" quotePrefix="0" xfId="1">
      <alignment horizontal="center" vertical="top"/>
    </xf>
    <xf numFmtId="0" fontId="35" fillId="0" borderId="28" applyAlignment="1" pivotButton="0" quotePrefix="0" xfId="1">
      <alignment horizontal="center" vertical="top"/>
    </xf>
    <xf numFmtId="165" fontId="32" fillId="0" borderId="62" applyAlignment="1" pivotButton="0" quotePrefix="0" xfId="2">
      <alignment horizontal="center" vertical="top"/>
    </xf>
    <xf numFmtId="0" fontId="38" fillId="0" borderId="49" applyAlignment="1" pivotButton="0" quotePrefix="0" xfId="1">
      <alignment horizontal="left" vertical="top" indent="1"/>
    </xf>
    <xf numFmtId="165" fontId="39" fillId="0" borderId="62" applyAlignment="1" pivotButton="0" quotePrefix="0" xfId="2">
      <alignment horizontal="center" vertical="top"/>
    </xf>
    <xf numFmtId="165" fontId="37" fillId="0" borderId="63" applyAlignment="1" pivotButton="0" quotePrefix="0" xfId="2">
      <alignment horizontal="center" vertical="top"/>
    </xf>
    <xf numFmtId="9" fontId="40" fillId="0" borderId="56" applyAlignment="1" pivotButton="0" quotePrefix="0" xfId="4">
      <alignment horizontal="center" vertical="top"/>
    </xf>
    <xf numFmtId="165" fontId="41" fillId="0" borderId="28" applyAlignment="1" pivotButton="0" quotePrefix="0" xfId="2">
      <alignment horizontal="center" vertical="top"/>
    </xf>
    <xf numFmtId="9" fontId="40" fillId="0" borderId="28" applyAlignment="1" pivotButton="0" quotePrefix="0" xfId="4">
      <alignment horizontal="center" vertical="top"/>
    </xf>
    <xf numFmtId="0" fontId="6" fillId="0" borderId="49" applyAlignment="1" pivotButton="0" quotePrefix="0" xfId="1">
      <alignment horizontal="left" vertical="top" indent="1"/>
    </xf>
    <xf numFmtId="165" fontId="25" fillId="0" borderId="28" applyAlignment="1" pivotButton="0" quotePrefix="0" xfId="2">
      <alignment vertical="top"/>
    </xf>
    <xf numFmtId="165" fontId="41" fillId="0" borderId="62" applyAlignment="1" pivotButton="0" quotePrefix="0" xfId="2">
      <alignment horizontal="center" vertical="top"/>
    </xf>
    <xf numFmtId="165" fontId="41" fillId="0" borderId="56" applyAlignment="1" pivotButton="0" quotePrefix="0" xfId="2">
      <alignment horizontal="center" vertical="top"/>
    </xf>
    <xf numFmtId="165" fontId="41" fillId="0" borderId="28" applyAlignment="1" pivotButton="0" quotePrefix="0" xfId="2">
      <alignment horizontal="center" vertical="top"/>
    </xf>
    <xf numFmtId="165" fontId="41" fillId="0" borderId="28" applyAlignment="1" pivotButton="0" quotePrefix="1" xfId="2">
      <alignment horizontal="center" vertical="top"/>
    </xf>
    <xf numFmtId="9" fontId="40" fillId="0" borderId="62" applyAlignment="1" pivotButton="0" quotePrefix="0" xfId="4">
      <alignment horizontal="center" vertical="top"/>
    </xf>
    <xf numFmtId="9" fontId="40" fillId="0" borderId="63" applyAlignment="1" pivotButton="0" quotePrefix="0" xfId="4">
      <alignment horizontal="center" vertical="top"/>
    </xf>
    <xf numFmtId="165" fontId="41" fillId="0" borderId="56" applyAlignment="1" pivotButton="0" quotePrefix="0" xfId="2">
      <alignment horizontal="center" vertical="top"/>
    </xf>
    <xf numFmtId="165" fontId="41" fillId="20" borderId="62" applyAlignment="1" pivotButton="0" quotePrefix="0" xfId="2">
      <alignment horizontal="center" vertical="top"/>
    </xf>
    <xf numFmtId="165" fontId="41" fillId="20" borderId="56" applyAlignment="1" pivotButton="0" quotePrefix="0" xfId="2">
      <alignment horizontal="center" vertical="top"/>
    </xf>
    <xf numFmtId="165" fontId="41" fillId="20" borderId="28" applyAlignment="1" pivotButton="0" quotePrefix="0" xfId="2">
      <alignment horizontal="center" vertical="top"/>
    </xf>
    <xf numFmtId="0" fontId="24" fillId="0" borderId="28" applyAlignment="1" pivotButton="0" quotePrefix="0" xfId="1">
      <alignment horizontal="left" vertical="top"/>
    </xf>
    <xf numFmtId="165" fontId="6" fillId="0" borderId="62" applyAlignment="1" pivotButton="0" quotePrefix="0" xfId="2">
      <alignment horizontal="center" vertical="top"/>
    </xf>
    <xf numFmtId="165" fontId="29" fillId="0" borderId="62" applyAlignment="1" pivotButton="0" quotePrefix="0" xfId="2">
      <alignment horizontal="center" vertical="top"/>
    </xf>
    <xf numFmtId="165" fontId="29" fillId="0" borderId="63" applyAlignment="1" pivotButton="0" quotePrefix="0" xfId="2">
      <alignment horizontal="center" vertical="top"/>
    </xf>
    <xf numFmtId="165" fontId="29" fillId="0" borderId="56" applyAlignment="1" pivotButton="0" quotePrefix="0" xfId="2">
      <alignment horizontal="center" vertical="top"/>
    </xf>
    <xf numFmtId="165" fontId="29" fillId="0" borderId="28" applyAlignment="1" pivotButton="0" quotePrefix="0" xfId="2">
      <alignment horizontal="center" vertical="top"/>
    </xf>
    <xf numFmtId="165" fontId="6" fillId="0" borderId="62" applyAlignment="1" pivotButton="0" quotePrefix="0" xfId="2">
      <alignment horizontal="center" vertical="top"/>
    </xf>
    <xf numFmtId="165" fontId="6" fillId="21" borderId="56" applyAlignment="1" pivotButton="0" quotePrefix="0" xfId="2">
      <alignment horizontal="center" vertical="top"/>
    </xf>
    <xf numFmtId="165" fontId="6" fillId="21" borderId="28" applyAlignment="1" pivotButton="0" quotePrefix="0" xfId="2">
      <alignment horizontal="center" vertical="top"/>
    </xf>
    <xf numFmtId="165" fontId="6" fillId="20" borderId="62" applyAlignment="1" pivotButton="0" quotePrefix="0" xfId="2">
      <alignment horizontal="center" vertical="top"/>
    </xf>
    <xf numFmtId="165" fontId="25" fillId="0" borderId="63" applyAlignment="1" pivotButton="0" quotePrefix="0" xfId="2">
      <alignment horizontal="center" vertical="top"/>
    </xf>
    <xf numFmtId="0" fontId="35" fillId="0" borderId="28" applyAlignment="1" pivotButton="0" quotePrefix="0" xfId="1">
      <alignment vertical="top"/>
    </xf>
    <xf numFmtId="165" fontId="38" fillId="0" borderId="28" applyAlignment="1" pivotButton="0" quotePrefix="0" xfId="2">
      <alignment horizontal="center" vertical="top"/>
    </xf>
    <xf numFmtId="165" fontId="35" fillId="0" borderId="28" applyAlignment="1" pivotButton="0" quotePrefix="0" xfId="2">
      <alignment horizontal="center" vertical="top"/>
    </xf>
    <xf numFmtId="165" fontId="35" fillId="0" borderId="62" applyAlignment="1" pivotButton="0" quotePrefix="0" xfId="2">
      <alignment horizontal="center" vertical="top"/>
    </xf>
    <xf numFmtId="165" fontId="35" fillId="0" borderId="56" applyAlignment="1" pivotButton="0" quotePrefix="0" xfId="2">
      <alignment horizontal="center" vertical="top"/>
    </xf>
    <xf numFmtId="165" fontId="35" fillId="0" borderId="63" applyAlignment="1" pivotButton="0" quotePrefix="0" xfId="2">
      <alignment horizontal="center" vertical="top"/>
    </xf>
    <xf numFmtId="165" fontId="35" fillId="0" borderId="28" applyAlignment="1" pivotButton="0" quotePrefix="0" xfId="2">
      <alignment horizontal="center" vertical="top"/>
    </xf>
    <xf numFmtId="0" fontId="42" fillId="0" borderId="28" applyAlignment="1" pivotButton="0" quotePrefix="0" xfId="1">
      <alignment vertical="top"/>
    </xf>
    <xf numFmtId="0" fontId="25" fillId="19" borderId="64" applyAlignment="1" pivotButton="0" quotePrefix="0" xfId="1">
      <alignment vertical="top"/>
    </xf>
    <xf numFmtId="0" fontId="35" fillId="19" borderId="61" applyAlignment="1" pivotButton="0" quotePrefix="0" xfId="1">
      <alignment horizontal="center" vertical="top"/>
    </xf>
    <xf numFmtId="165" fontId="25" fillId="19" borderId="61" applyAlignment="1" pivotButton="0" quotePrefix="0" xfId="2">
      <alignment horizontal="center" vertical="top"/>
    </xf>
    <xf numFmtId="165" fontId="25" fillId="19" borderId="65" applyAlignment="1" pivotButton="0" quotePrefix="0" xfId="2">
      <alignment horizontal="center" vertical="top"/>
    </xf>
    <xf numFmtId="0" fontId="38" fillId="0" borderId="49" applyAlignment="1" pivotButton="0" quotePrefix="0" xfId="1">
      <alignment vertical="top"/>
    </xf>
    <xf numFmtId="165" fontId="38" fillId="0" borderId="28" applyAlignment="1" pivotButton="0" quotePrefix="0" xfId="2">
      <alignment horizontal="center" vertical="top"/>
    </xf>
    <xf numFmtId="165" fontId="34" fillId="0" borderId="53" applyAlignment="1" pivotButton="0" quotePrefix="0" xfId="2">
      <alignment horizontal="center" vertical="top"/>
    </xf>
    <xf numFmtId="165" fontId="34" fillId="0" borderId="28" applyAlignment="1" pivotButton="0" quotePrefix="0" xfId="2">
      <alignment horizontal="center" vertical="top"/>
    </xf>
    <xf numFmtId="165" fontId="28" fillId="0" borderId="28" applyAlignment="1" pivotButton="0" quotePrefix="0" xfId="2">
      <alignment horizontal="center" vertical="top"/>
    </xf>
    <xf numFmtId="165" fontId="28" fillId="0" borderId="28" applyAlignment="1" pivotButton="0" quotePrefix="0" xfId="2">
      <alignment vertical="top"/>
    </xf>
    <xf numFmtId="165" fontId="43" fillId="0" borderId="28" applyAlignment="1" pivotButton="0" quotePrefix="0" xfId="2">
      <alignment horizontal="center" vertical="top"/>
    </xf>
    <xf numFmtId="165" fontId="39" fillId="0" borderId="28" applyAlignment="1" pivotButton="0" quotePrefix="0" xfId="2">
      <alignment horizontal="center" vertical="top"/>
    </xf>
    <xf numFmtId="165" fontId="44" fillId="0" borderId="28" applyAlignment="1" pivotButton="0" quotePrefix="0" xfId="5">
      <alignment horizontal="center" vertical="top"/>
    </xf>
    <xf numFmtId="165" fontId="44" fillId="0" borderId="28" applyAlignment="1" pivotButton="0" quotePrefix="0" xfId="2">
      <alignment horizontal="center" vertical="top"/>
    </xf>
    <xf numFmtId="165" fontId="39" fillId="20" borderId="28" applyAlignment="1" pivotButton="0" quotePrefix="0" xfId="2">
      <alignment horizontal="center" vertical="top"/>
    </xf>
    <xf numFmtId="0" fontId="32" fillId="0" borderId="49" applyAlignment="1" pivotButton="0" quotePrefix="0" xfId="1">
      <alignment horizontal="left" vertical="top"/>
    </xf>
    <xf numFmtId="165" fontId="24" fillId="0" borderId="28" applyAlignment="1" pivotButton="0" quotePrefix="0" xfId="2">
      <alignment horizontal="center" vertical="top"/>
    </xf>
    <xf numFmtId="165" fontId="28" fillId="0" borderId="28" applyAlignment="1" pivotButton="0" quotePrefix="0" xfId="2">
      <alignment horizontal="center" vertical="top"/>
    </xf>
    <xf numFmtId="165" fontId="32" fillId="0" borderId="28" applyAlignment="1" pivotButton="0" quotePrefix="0" xfId="2">
      <alignment horizontal="center" vertical="top"/>
    </xf>
    <xf numFmtId="165" fontId="32" fillId="0" borderId="28" applyAlignment="1" pivotButton="0" quotePrefix="0" xfId="2">
      <alignment vertical="top"/>
    </xf>
    <xf numFmtId="165" fontId="34" fillId="0" borderId="28" applyAlignment="1" pivotButton="0" quotePrefix="0" xfId="2">
      <alignment horizontal="center" vertical="top"/>
    </xf>
    <xf numFmtId="0" fontId="6" fillId="0" borderId="49" applyAlignment="1" pivotButton="0" quotePrefix="0" xfId="1">
      <alignment vertical="top"/>
    </xf>
    <xf numFmtId="0" fontId="6" fillId="0" borderId="28" applyAlignment="1" pivotButton="0" quotePrefix="0" xfId="1">
      <alignment horizontal="center" vertical="top"/>
    </xf>
    <xf numFmtId="165" fontId="0" fillId="0" borderId="28" applyAlignment="1" pivotButton="0" quotePrefix="0" xfId="2">
      <alignment horizontal="center" vertical="top"/>
    </xf>
    <xf numFmtId="165" fontId="0" fillId="0" borderId="56" applyAlignment="1" pivotButton="0" quotePrefix="0" xfId="2">
      <alignment horizontal="center" vertical="top"/>
    </xf>
    <xf numFmtId="165" fontId="0" fillId="0" borderId="62" applyAlignment="1" pivotButton="0" quotePrefix="0" xfId="2">
      <alignment horizontal="center" vertical="top"/>
    </xf>
    <xf numFmtId="165" fontId="0" fillId="0" borderId="53" applyAlignment="1" pivotButton="0" quotePrefix="0" xfId="2">
      <alignment horizontal="center" vertical="top"/>
    </xf>
    <xf numFmtId="165" fontId="0" fillId="0" borderId="28" applyAlignment="1" pivotButton="0" quotePrefix="0" xfId="2">
      <alignment horizontal="center" vertical="top"/>
    </xf>
    <xf numFmtId="0" fontId="32" fillId="0" borderId="28" applyAlignment="1" pivotButton="0" quotePrefix="0" xfId="1">
      <alignment horizontal="left" vertical="top"/>
    </xf>
    <xf numFmtId="165" fontId="24" fillId="0" borderId="28" applyAlignment="1" pivotButton="0" quotePrefix="0" xfId="2">
      <alignment horizontal="left" vertical="top"/>
    </xf>
    <xf numFmtId="165" fontId="32" fillId="0" borderId="53" applyAlignment="1" pivotButton="0" quotePrefix="0" xfId="2">
      <alignment horizontal="center" vertical="top"/>
    </xf>
    <xf numFmtId="165" fontId="32" fillId="0" borderId="28" applyAlignment="1" pivotButton="0" quotePrefix="0" xfId="2">
      <alignment horizontal="center" vertical="top"/>
    </xf>
    <xf numFmtId="165" fontId="35" fillId="0" borderId="53" applyAlignment="1" pivotButton="0" quotePrefix="0" xfId="2">
      <alignment horizontal="center" vertical="top"/>
    </xf>
    <xf numFmtId="165" fontId="35" fillId="0" borderId="28" applyAlignment="1" pivotButton="0" quotePrefix="0" xfId="2">
      <alignment horizontal="center" vertical="top"/>
    </xf>
    <xf numFmtId="0" fontId="25" fillId="22" borderId="58" applyAlignment="1" pivotButton="0" quotePrefix="0" xfId="1">
      <alignment horizontal="left" vertical="top"/>
    </xf>
    <xf numFmtId="0" fontId="6" fillId="22" borderId="28" applyAlignment="1" pivotButton="0" quotePrefix="0" xfId="1">
      <alignment horizontal="center" vertical="top"/>
    </xf>
    <xf numFmtId="165" fontId="25" fillId="22" borderId="61" applyAlignment="1" pivotButton="0" quotePrefix="0" xfId="2">
      <alignment horizontal="center" vertical="top"/>
    </xf>
    <xf numFmtId="165" fontId="25" fillId="22" borderId="65" applyAlignment="1" pivotButton="0" quotePrefix="0" xfId="2">
      <alignment horizontal="center" vertical="top"/>
    </xf>
    <xf numFmtId="0" fontId="6" fillId="0" borderId="28" applyAlignment="1" pivotButton="0" quotePrefix="0" xfId="1">
      <alignment vertical="top"/>
    </xf>
    <xf numFmtId="0" fontId="38" fillId="0" borderId="49" applyAlignment="1" pivotButton="0" quotePrefix="0" xfId="1">
      <alignment horizontal="left" vertical="top"/>
    </xf>
    <xf numFmtId="0" fontId="6" fillId="0" borderId="28" applyAlignment="1" pivotButton="0" quotePrefix="0" xfId="1">
      <alignment horizontal="center" vertical="top"/>
    </xf>
    <xf numFmtId="0" fontId="6" fillId="20" borderId="49" applyAlignment="1" pivotButton="0" quotePrefix="0" xfId="1">
      <alignment horizontal="left" vertical="top" indent="1"/>
    </xf>
    <xf numFmtId="0" fontId="25" fillId="20" borderId="28" applyAlignment="1" pivotButton="0" quotePrefix="0" xfId="1">
      <alignment vertical="top"/>
    </xf>
    <xf numFmtId="165" fontId="41" fillId="20" borderId="63" applyAlignment="1" pivotButton="0" quotePrefix="0" xfId="2">
      <alignment horizontal="center" vertical="top"/>
    </xf>
    <xf numFmtId="0" fontId="35" fillId="20" borderId="49" applyAlignment="1" pivotButton="0" quotePrefix="0" xfId="1">
      <alignment horizontal="left" vertical="top" indent="1"/>
    </xf>
    <xf numFmtId="165" fontId="45" fillId="20" borderId="28" applyAlignment="1" pivotButton="0" quotePrefix="0" xfId="2">
      <alignment horizontal="center" vertical="top"/>
    </xf>
    <xf numFmtId="165" fontId="45" fillId="20" borderId="53" applyAlignment="1" pivotButton="0" quotePrefix="0" xfId="2">
      <alignment horizontal="center" vertical="top"/>
    </xf>
    <xf numFmtId="165" fontId="25" fillId="0" borderId="28" applyAlignment="1" pivotButton="0" quotePrefix="0" xfId="1">
      <alignment horizontal="center" vertical="top"/>
    </xf>
    <xf numFmtId="165" fontId="6" fillId="0" borderId="28" applyAlignment="1" pivotButton="0" quotePrefix="0" xfId="1">
      <alignment horizontal="center" vertical="top"/>
    </xf>
    <xf numFmtId="0" fontId="25" fillId="23" borderId="66" applyAlignment="1" pivotButton="0" quotePrefix="0" xfId="1">
      <alignment horizontal="left" vertical="top"/>
    </xf>
    <xf numFmtId="0" fontId="6" fillId="23" borderId="67" applyAlignment="1" pivotButton="0" quotePrefix="0" xfId="1">
      <alignment horizontal="center" vertical="top"/>
    </xf>
    <xf numFmtId="0" fontId="6" fillId="23" borderId="67" applyAlignment="1" pivotButton="0" quotePrefix="0" xfId="1">
      <alignment vertical="top"/>
    </xf>
    <xf numFmtId="165" fontId="25" fillId="23" borderId="67" applyAlignment="1" pivotButton="0" quotePrefix="0" xfId="1">
      <alignment horizontal="center" vertical="top"/>
    </xf>
    <xf numFmtId="165" fontId="25" fillId="23" borderId="68" applyAlignment="1" pivotButton="0" quotePrefix="0" xfId="1">
      <alignment horizontal="center" vertical="top"/>
    </xf>
    <xf numFmtId="0" fontId="38" fillId="0" borderId="28" applyAlignment="1" pivotButton="0" quotePrefix="0" xfId="1">
      <alignment horizontal="left" vertical="top"/>
    </xf>
    <xf numFmtId="165" fontId="6" fillId="0" borderId="28" applyAlignment="1" pivotButton="0" quotePrefix="0" xfId="1">
      <alignment horizontal="center" vertical="top"/>
    </xf>
    <xf numFmtId="0" fontId="6" fillId="0" borderId="44" applyAlignment="1" pivotButton="0" quotePrefix="0" xfId="1">
      <alignment horizontal="center" vertical="top"/>
    </xf>
    <xf numFmtId="0" fontId="6" fillId="0" borderId="44" applyAlignment="1" pivotButton="0" quotePrefix="0" xfId="1">
      <alignment vertical="top"/>
    </xf>
    <xf numFmtId="165" fontId="6" fillId="0" borderId="44" applyAlignment="1" pivotButton="0" quotePrefix="0" xfId="1">
      <alignment horizontal="center" vertical="top"/>
    </xf>
    <xf numFmtId="165" fontId="6" fillId="0" borderId="48" applyAlignment="1" pivotButton="0" quotePrefix="0" xfId="1">
      <alignment horizontal="center" vertical="top"/>
    </xf>
    <xf numFmtId="165" fontId="6" fillId="0" borderId="28" applyAlignment="1" pivotButton="0" quotePrefix="0" xfId="1">
      <alignment horizontal="center" vertical="top"/>
    </xf>
    <xf numFmtId="165" fontId="6" fillId="0" borderId="53" applyAlignment="1" pivotButton="0" quotePrefix="0" xfId="1">
      <alignment horizontal="center" vertical="top"/>
    </xf>
    <xf numFmtId="0" fontId="25" fillId="0" borderId="66" applyAlignment="1" pivotButton="0" quotePrefix="0" xfId="1">
      <alignment vertical="top"/>
    </xf>
    <xf numFmtId="0" fontId="6" fillId="0" borderId="67" applyAlignment="1" pivotButton="0" quotePrefix="0" xfId="1">
      <alignment horizontal="center" vertical="top"/>
    </xf>
    <xf numFmtId="0" fontId="6" fillId="0" borderId="67" applyAlignment="1" pivotButton="0" quotePrefix="0" xfId="1">
      <alignment vertical="top"/>
    </xf>
    <xf numFmtId="165" fontId="6" fillId="0" borderId="70" applyAlignment="1" pivotButton="0" quotePrefix="0" xfId="1">
      <alignment horizontal="center" vertical="top"/>
    </xf>
    <xf numFmtId="0" fontId="6" fillId="0" borderId="68" applyAlignment="1" pivotButton="0" quotePrefix="0" xfId="1">
      <alignment horizontal="center" vertical="top"/>
    </xf>
    <xf numFmtId="0" fontId="5" fillId="0" borderId="49" applyAlignment="1" pivotButton="0" quotePrefix="1" xfId="1">
      <alignment vertical="top"/>
    </xf>
    <xf numFmtId="9" fontId="48" fillId="0" borderId="28" applyAlignment="1" pivotButton="0" quotePrefix="0" xfId="7">
      <alignment horizontal="center" vertical="top"/>
    </xf>
    <xf numFmtId="165" fontId="25" fillId="24" borderId="67" applyAlignment="1" pivotButton="0" quotePrefix="0" xfId="1">
      <alignment horizontal="center" vertical="top"/>
    </xf>
    <xf numFmtId="165" fontId="5" fillId="20" borderId="28" applyAlignment="1" pivotButton="0" quotePrefix="0" xfId="2">
      <alignment horizontal="center" vertical="top"/>
    </xf>
    <xf numFmtId="0" fontId="5" fillId="0" borderId="49" applyAlignment="1" pivotButton="0" quotePrefix="0" xfId="1">
      <alignment horizontal="left" vertical="top"/>
    </xf>
    <xf numFmtId="165" fontId="25" fillId="24" borderId="69" applyAlignment="1" pivotButton="0" quotePrefix="0" xfId="1">
      <alignment horizontal="center" vertical="top"/>
    </xf>
    <xf numFmtId="0" fontId="5" fillId="20" borderId="49" applyAlignment="1" pivotButton="0" quotePrefix="0" xfId="1">
      <alignment horizontal="left" vertical="top" indent="1"/>
    </xf>
    <xf numFmtId="168" fontId="24" fillId="0" borderId="28" applyAlignment="1" pivotButton="0" quotePrefix="0" xfId="1">
      <alignment horizontal="left" vertical="top" wrapText="1"/>
    </xf>
    <xf numFmtId="165" fontId="37" fillId="20" borderId="53" applyAlignment="1" pivotButton="0" quotePrefix="0" xfId="2">
      <alignment horizontal="center" vertical="top"/>
    </xf>
    <xf numFmtId="165" fontId="25" fillId="20" borderId="53" applyAlignment="1" pivotButton="0" quotePrefix="0" xfId="2">
      <alignment horizontal="center" vertical="top"/>
    </xf>
    <xf numFmtId="0" fontId="25" fillId="0" borderId="43" applyAlignment="1" pivotButton="0" quotePrefix="0" xfId="1">
      <alignment vertical="top"/>
    </xf>
    <xf numFmtId="0" fontId="35" fillId="0" borderId="66" applyAlignment="1" pivotButton="0" quotePrefix="0" xfId="1">
      <alignment horizontal="left" vertical="top"/>
    </xf>
    <xf numFmtId="165" fontId="6" fillId="0" borderId="67" applyAlignment="1" pivotButton="0" quotePrefix="0" xfId="2">
      <alignment horizontal="center" vertical="top"/>
    </xf>
    <xf numFmtId="0" fontId="25" fillId="0" borderId="67" applyAlignment="1" pivotButton="0" quotePrefix="0" xfId="1">
      <alignment vertical="top"/>
    </xf>
    <xf numFmtId="0" fontId="6" fillId="0" borderId="44" applyAlignment="1" pivotButton="0" quotePrefix="0" xfId="1">
      <alignment horizontal="center" vertical="top"/>
    </xf>
    <xf numFmtId="0" fontId="6" fillId="0" borderId="48" applyAlignment="1" pivotButton="0" quotePrefix="0" xfId="1">
      <alignment horizontal="center" vertical="top"/>
    </xf>
    <xf numFmtId="165" fontId="25" fillId="0" borderId="67" applyAlignment="1" pivotButton="0" quotePrefix="0" xfId="2">
      <alignment horizontal="center" vertical="top"/>
    </xf>
    <xf numFmtId="165" fontId="6" fillId="0" borderId="67" applyAlignment="1" pivotButton="0" quotePrefix="0" xfId="2">
      <alignment horizontal="center" vertical="top"/>
    </xf>
    <xf numFmtId="165" fontId="25" fillId="0" borderId="53" applyAlignment="1" pivotButton="0" quotePrefix="0" xfId="2">
      <alignment horizontal="center" vertical="top"/>
    </xf>
    <xf numFmtId="165" fontId="34" fillId="0" borderId="67" applyAlignment="1" pivotButton="0" quotePrefix="0" xfId="2">
      <alignment horizontal="center" vertical="top"/>
    </xf>
    <xf numFmtId="165" fontId="37" fillId="0" borderId="67" applyAlignment="1" pivotButton="0" quotePrefix="0" xfId="2">
      <alignment horizontal="center" vertical="top"/>
    </xf>
    <xf numFmtId="165" fontId="25" fillId="0" borderId="68" applyAlignment="1" pivotButton="0" quotePrefix="0" xfId="2">
      <alignment horizontal="center" vertical="top"/>
    </xf>
    <xf numFmtId="165" fontId="25" fillId="0" borderId="53" applyAlignment="1" pivotButton="0" quotePrefix="0" xfId="2">
      <alignment horizontal="center" vertical="top"/>
    </xf>
    <xf numFmtId="165" fontId="37" fillId="0" borderId="53" applyAlignment="1" pivotButton="0" quotePrefix="0" xfId="2">
      <alignment horizontal="center" vertical="top"/>
    </xf>
    <xf numFmtId="9" fontId="40" fillId="0" borderId="53" applyAlignment="1" pivotButton="0" quotePrefix="0" xfId="4">
      <alignment horizontal="center" vertical="top"/>
    </xf>
    <xf numFmtId="165" fontId="37" fillId="20" borderId="56" applyAlignment="1" pivotButton="0" quotePrefix="0" xfId="2">
      <alignment horizontal="center" vertical="top"/>
    </xf>
    <xf numFmtId="0" fontId="24" fillId="0" borderId="28" applyAlignment="1" pivotButton="0" quotePrefix="0" xfId="1">
      <alignment horizontal="left" vertical="top" wrapText="1"/>
    </xf>
    <xf numFmtId="0" fontId="18" fillId="0" borderId="0" applyAlignment="1" pivotButton="0" quotePrefix="0" xfId="0">
      <alignment vertical="center"/>
    </xf>
    <xf numFmtId="0" fontId="4" fillId="0" borderId="49" applyAlignment="1" pivotButton="0" quotePrefix="0" xfId="1">
      <alignment horizontal="left" vertical="top"/>
    </xf>
    <xf numFmtId="165" fontId="4" fillId="0" borderId="28" applyAlignment="1" pivotButton="0" quotePrefix="0" xfId="2">
      <alignment horizontal="center" vertical="top"/>
    </xf>
    <xf numFmtId="0" fontId="51" fillId="0" borderId="49" applyAlignment="1" pivotButton="0" quotePrefix="0" xfId="1">
      <alignment horizontal="left" vertical="top" indent="1"/>
    </xf>
    <xf numFmtId="9" fontId="52" fillId="0" borderId="28" applyAlignment="1" pivotButton="0" quotePrefix="0" xfId="7">
      <alignment horizontal="center" vertical="top"/>
    </xf>
    <xf numFmtId="165" fontId="37" fillId="0" borderId="63" applyAlignment="1" pivotButton="0" quotePrefix="0" xfId="2">
      <alignment horizontal="center" vertical="top"/>
    </xf>
    <xf numFmtId="165" fontId="41" fillId="0" borderId="62" applyAlignment="1" pivotButton="0" quotePrefix="0" xfId="2">
      <alignment horizontal="center" vertical="top"/>
    </xf>
    <xf numFmtId="165" fontId="37" fillId="0" borderId="56" applyAlignment="1" pivotButton="0" quotePrefix="0" xfId="2">
      <alignment horizontal="center" vertical="top"/>
    </xf>
    <xf numFmtId="0" fontId="24" fillId="0" borderId="28" applyAlignment="1" pivotButton="0" quotePrefix="0" xfId="1">
      <alignment horizontal="left" vertical="top" wrapText="1"/>
    </xf>
    <xf numFmtId="0" fontId="25" fillId="20" borderId="43" applyAlignment="1" pivotButton="0" quotePrefix="0" xfId="1">
      <alignment vertical="top"/>
    </xf>
    <xf numFmtId="165" fontId="6" fillId="20" borderId="44" applyAlignment="1" pivotButton="0" quotePrefix="0" xfId="2">
      <alignment horizontal="center" vertical="top"/>
    </xf>
    <xf numFmtId="0" fontId="25" fillId="20" borderId="44" applyAlignment="1" pivotButton="0" quotePrefix="0" xfId="1">
      <alignment vertical="top"/>
    </xf>
    <xf numFmtId="165" fontId="41" fillId="20" borderId="44" applyAlignment="1" pivotButton="0" quotePrefix="0" xfId="2">
      <alignment horizontal="center" vertical="top"/>
    </xf>
    <xf numFmtId="165" fontId="41" fillId="20" borderId="48" applyAlignment="1" pivotButton="0" quotePrefix="0" xfId="2">
      <alignment horizontal="center" vertical="top"/>
    </xf>
    <xf numFmtId="165" fontId="41" fillId="20" borderId="53" applyAlignment="1" pivotButton="0" quotePrefix="0" xfId="2">
      <alignment horizontal="center" vertical="top"/>
    </xf>
    <xf numFmtId="0" fontId="25" fillId="20" borderId="66" applyAlignment="1" pivotButton="0" quotePrefix="0" xfId="1">
      <alignment horizontal="left" vertical="top"/>
    </xf>
    <xf numFmtId="0" fontId="6" fillId="20" borderId="67" applyAlignment="1" pivotButton="0" quotePrefix="0" xfId="1">
      <alignment horizontal="center" vertical="top"/>
    </xf>
    <xf numFmtId="0" fontId="6" fillId="20" borderId="67" applyAlignment="1" pivotButton="0" quotePrefix="0" xfId="1">
      <alignment vertical="top"/>
    </xf>
    <xf numFmtId="165" fontId="25" fillId="20" borderId="67" applyAlignment="1" pivotButton="0" quotePrefix="0" xfId="1">
      <alignment horizontal="center" vertical="top"/>
    </xf>
    <xf numFmtId="165" fontId="25" fillId="20" borderId="68" applyAlignment="1" pivotButton="0" quotePrefix="0" xfId="1">
      <alignment horizontal="center" vertical="top"/>
    </xf>
    <xf numFmtId="165" fontId="25" fillId="24" borderId="70" applyAlignment="1" pivotButton="0" quotePrefix="0" xfId="1">
      <alignment horizontal="center" vertical="top"/>
    </xf>
    <xf numFmtId="165" fontId="6" fillId="0" borderId="28" applyAlignment="1" pivotButton="0" quotePrefix="0" xfId="1">
      <alignment horizontal="center" vertical="top"/>
    </xf>
    <xf numFmtId="165" fontId="45" fillId="20" borderId="63" applyAlignment="1" pivotButton="0" quotePrefix="0" xfId="2">
      <alignment horizontal="center" vertical="top"/>
    </xf>
    <xf numFmtId="165" fontId="41" fillId="20" borderId="43" applyAlignment="1" pivotButton="0" quotePrefix="0" xfId="2">
      <alignment horizontal="center" vertical="top"/>
    </xf>
    <xf numFmtId="165" fontId="41" fillId="20" borderId="71" applyAlignment="1" pivotButton="0" quotePrefix="0" xfId="2">
      <alignment horizontal="center" vertical="top"/>
    </xf>
    <xf numFmtId="165" fontId="41" fillId="20" borderId="72" applyAlignment="1" pivotButton="0" quotePrefix="0" xfId="2">
      <alignment horizontal="center" vertical="top"/>
    </xf>
    <xf numFmtId="165" fontId="41" fillId="20" borderId="49" applyAlignment="1" pivotButton="0" quotePrefix="0" xfId="2">
      <alignment horizontal="center" vertical="top"/>
    </xf>
    <xf numFmtId="165" fontId="45" fillId="20" borderId="49" applyAlignment="1" pivotButton="0" quotePrefix="0" xfId="2">
      <alignment horizontal="center" vertical="top"/>
    </xf>
    <xf numFmtId="165" fontId="25" fillId="20" borderId="66" applyAlignment="1" pivotButton="0" quotePrefix="0" xfId="1">
      <alignment horizontal="center" vertical="top"/>
    </xf>
    <xf numFmtId="165" fontId="25" fillId="20" borderId="73" applyAlignment="1" pivotButton="0" quotePrefix="0" xfId="1">
      <alignment horizontal="center" vertical="top"/>
    </xf>
    <xf numFmtId="165" fontId="38" fillId="0" borderId="53" applyAlignment="1" pivotButton="0" quotePrefix="0" xfId="2">
      <alignment horizontal="center" vertical="top"/>
    </xf>
    <xf numFmtId="0" fontId="6" fillId="0" borderId="48" applyAlignment="1" pivotButton="0" quotePrefix="0" xfId="1">
      <alignment horizontal="center" vertical="top"/>
    </xf>
    <xf numFmtId="165" fontId="37" fillId="20" borderId="68" applyAlignment="1" pivotButton="0" quotePrefix="0" xfId="2">
      <alignment horizontal="center" vertical="top"/>
    </xf>
    <xf numFmtId="165" fontId="37" fillId="0" borderId="53" applyAlignment="1" pivotButton="0" quotePrefix="0" xfId="2">
      <alignment horizontal="center" vertical="top"/>
    </xf>
    <xf numFmtId="165" fontId="34" fillId="0" borderId="53" applyAlignment="1" pivotButton="0" quotePrefix="0" xfId="2">
      <alignment horizontal="center" vertical="top"/>
    </xf>
    <xf numFmtId="0" fontId="3" fillId="0" borderId="49" applyAlignment="1" pivotButton="0" quotePrefix="0" xfId="1">
      <alignment horizontal="left" vertical="top"/>
    </xf>
    <xf numFmtId="0" fontId="54" fillId="0" borderId="8" applyAlignment="1" pivotButton="0" quotePrefix="0" xfId="9">
      <alignment horizontal="right"/>
    </xf>
    <xf numFmtId="0" fontId="54" fillId="0" borderId="8" pivotButton="0" quotePrefix="0" xfId="9"/>
    <xf numFmtId="0" fontId="53" fillId="0" borderId="28" pivotButton="0" quotePrefix="0" xfId="9"/>
    <xf numFmtId="0" fontId="54" fillId="0" borderId="28" applyAlignment="1" pivotButton="0" quotePrefix="0" xfId="9">
      <alignment horizontal="right"/>
    </xf>
    <xf numFmtId="0" fontId="54" fillId="0" borderId="28" applyAlignment="1" pivotButton="0" quotePrefix="0" xfId="9">
      <alignment horizontal="center" vertical="center"/>
    </xf>
    <xf numFmtId="0" fontId="54" fillId="0" borderId="28" applyAlignment="1" pivotButton="0" quotePrefix="0" xfId="9">
      <alignment horizontal="center"/>
    </xf>
    <xf numFmtId="0" fontId="56" fillId="0" borderId="28" applyAlignment="1" pivotButton="0" quotePrefix="0" xfId="9">
      <alignment horizontal="center" wrapText="1"/>
    </xf>
    <xf numFmtId="0" fontId="56" fillId="9" borderId="28" applyAlignment="1" pivotButton="0" quotePrefix="0" xfId="9">
      <alignment horizontal="center" vertical="center" wrapText="1"/>
    </xf>
    <xf numFmtId="0" fontId="54" fillId="0" borderId="28" applyAlignment="1" pivotButton="0" quotePrefix="0" xfId="9">
      <alignment vertical="center"/>
    </xf>
    <xf numFmtId="0" fontId="56" fillId="0" borderId="74" applyAlignment="1" pivotButton="0" quotePrefix="0" xfId="9">
      <alignment horizontal="center" wrapText="1"/>
    </xf>
    <xf numFmtId="0" fontId="56" fillId="9" borderId="75" applyAlignment="1" pivotButton="0" quotePrefix="0" xfId="9">
      <alignment horizontal="center" vertical="center" wrapText="1"/>
    </xf>
    <xf numFmtId="0" fontId="56" fillId="9" borderId="74" applyAlignment="1" pivotButton="0" quotePrefix="0" xfId="9">
      <alignment horizontal="center" vertical="center" wrapText="1"/>
    </xf>
    <xf numFmtId="0" fontId="56" fillId="9" borderId="76" applyAlignment="1" pivotButton="0" quotePrefix="0" xfId="9">
      <alignment horizontal="center" vertical="center" wrapText="1"/>
    </xf>
    <xf numFmtId="0" fontId="56" fillId="9" borderId="77" applyAlignment="1" pivotButton="0" quotePrefix="0" xfId="9">
      <alignment horizontal="center" vertical="center" wrapText="1"/>
    </xf>
    <xf numFmtId="0" fontId="54" fillId="0" borderId="8" applyAlignment="1" pivotButton="0" quotePrefix="0" xfId="9">
      <alignment vertical="center"/>
    </xf>
    <xf numFmtId="0" fontId="56" fillId="0" borderId="28" applyAlignment="1" pivotButton="0" quotePrefix="0" xfId="9">
      <alignment horizontal="center"/>
    </xf>
    <xf numFmtId="0" fontId="54" fillId="0" borderId="78" applyAlignment="1" pivotButton="0" quotePrefix="0" xfId="9">
      <alignment horizontal="center"/>
    </xf>
    <xf numFmtId="0" fontId="54" fillId="0" borderId="79" applyAlignment="1" pivotButton="0" quotePrefix="0" xfId="9">
      <alignment horizontal="center"/>
    </xf>
    <xf numFmtId="0" fontId="54" fillId="0" borderId="80" applyAlignment="1" pivotButton="0" quotePrefix="0" xfId="9">
      <alignment horizontal="center"/>
    </xf>
    <xf numFmtId="0" fontId="54" fillId="0" borderId="81" applyAlignment="1" pivotButton="0" quotePrefix="0" xfId="9">
      <alignment horizontal="center"/>
    </xf>
    <xf numFmtId="0" fontId="54" fillId="0" borderId="82" applyAlignment="1" pivotButton="0" quotePrefix="0" xfId="9">
      <alignment horizontal="center"/>
    </xf>
    <xf numFmtId="0" fontId="54" fillId="0" borderId="83" applyAlignment="1" pivotButton="0" quotePrefix="0" xfId="9">
      <alignment horizontal="center"/>
    </xf>
    <xf numFmtId="0" fontId="54" fillId="0" borderId="28" applyAlignment="1" pivotButton="0" quotePrefix="0" xfId="9">
      <alignment horizontal="center" wrapText="1"/>
    </xf>
    <xf numFmtId="0" fontId="54" fillId="0" borderId="79" applyAlignment="1" pivotButton="0" quotePrefix="0" xfId="9">
      <alignment horizontal="center" wrapText="1"/>
    </xf>
    <xf numFmtId="0" fontId="54" fillId="0" borderId="78" pivotButton="0" quotePrefix="0" xfId="9"/>
    <xf numFmtId="0" fontId="54" fillId="0" borderId="79" pivotButton="0" quotePrefix="0" xfId="9"/>
    <xf numFmtId="0" fontId="54" fillId="0" borderId="80" pivotButton="0" quotePrefix="0" xfId="9"/>
    <xf numFmtId="0" fontId="54" fillId="0" borderId="81" pivotButton="0" quotePrefix="0" xfId="9"/>
    <xf numFmtId="0" fontId="54" fillId="0" borderId="82" pivotButton="0" quotePrefix="0" xfId="9"/>
    <xf numFmtId="0" fontId="54" fillId="0" borderId="83" pivotButton="0" quotePrefix="0" xfId="9"/>
    <xf numFmtId="0" fontId="57" fillId="0" borderId="28" pivotButton="0" quotePrefix="0" xfId="9"/>
    <xf numFmtId="0" fontId="58" fillId="0" borderId="28" pivotButton="0" quotePrefix="0" xfId="9"/>
    <xf numFmtId="9" fontId="53" fillId="0" borderId="28" pivotButton="0" quotePrefix="0" xfId="9"/>
    <xf numFmtId="1" fontId="53" fillId="0" borderId="28" pivotButton="0" quotePrefix="0" xfId="9"/>
    <xf numFmtId="0" fontId="59" fillId="0" borderId="28" pivotButton="0" quotePrefix="0" xfId="9"/>
    <xf numFmtId="169" fontId="53" fillId="0" borderId="59" pivotButton="0" quotePrefix="0" xfId="8"/>
    <xf numFmtId="165" fontId="32" fillId="20" borderId="28" applyAlignment="1" pivotButton="0" quotePrefix="0" xfId="2">
      <alignment horizontal="center" vertical="top"/>
    </xf>
    <xf numFmtId="165" fontId="32" fillId="20" borderId="53" applyAlignment="1" pivotButton="0" quotePrefix="0" xfId="2">
      <alignment horizontal="center" vertical="top"/>
    </xf>
    <xf numFmtId="165" fontId="32" fillId="20" borderId="49" applyAlignment="1" pivotButton="0" quotePrefix="0" xfId="2">
      <alignment horizontal="center" vertical="top"/>
    </xf>
    <xf numFmtId="165" fontId="25" fillId="24" borderId="68" applyAlignment="1" pivotButton="0" quotePrefix="0" xfId="1">
      <alignment horizontal="center" vertical="top"/>
    </xf>
    <xf numFmtId="165" fontId="32" fillId="20" borderId="63" applyAlignment="1" pivotButton="0" quotePrefix="0" xfId="2">
      <alignment horizontal="center" vertical="top"/>
    </xf>
    <xf numFmtId="165" fontId="25" fillId="20" borderId="57" applyAlignment="1" pivotButton="0" quotePrefix="0" xfId="2">
      <alignment horizontal="center" vertical="top"/>
    </xf>
    <xf numFmtId="165" fontId="25" fillId="0" borderId="57" applyAlignment="1" pivotButton="0" quotePrefix="0" xfId="2">
      <alignment horizontal="center" vertical="top"/>
    </xf>
    <xf numFmtId="165" fontId="37" fillId="0" borderId="57" applyAlignment="1" pivotButton="0" quotePrefix="0" xfId="2">
      <alignment horizontal="center" vertical="top"/>
    </xf>
    <xf numFmtId="9" fontId="40" fillId="0" borderId="57" applyAlignment="1" pivotButton="0" quotePrefix="0" xfId="4">
      <alignment horizontal="center" vertical="top"/>
    </xf>
    <xf numFmtId="165" fontId="37" fillId="0" borderId="57" applyAlignment="1" pivotButton="0" quotePrefix="0" xfId="2">
      <alignment horizontal="center" vertical="top"/>
    </xf>
    <xf numFmtId="165" fontId="37" fillId="20" borderId="57" applyAlignment="1" pivotButton="0" quotePrefix="0" xfId="2">
      <alignment horizontal="center" vertical="top"/>
    </xf>
    <xf numFmtId="165" fontId="25" fillId="0" borderId="57" applyAlignment="1" pivotButton="0" quotePrefix="0" xfId="2">
      <alignment horizontal="center" vertical="top"/>
    </xf>
    <xf numFmtId="165" fontId="35" fillId="0" borderId="57" applyAlignment="1" pivotButton="0" quotePrefix="0" xfId="2">
      <alignment horizontal="center" vertical="top"/>
    </xf>
    <xf numFmtId="0" fontId="49" fillId="0" borderId="0" applyAlignment="1" pivotButton="0" quotePrefix="0" xfId="0">
      <alignment vertical="top"/>
    </xf>
    <xf numFmtId="0" fontId="60" fillId="21" borderId="28" applyAlignment="1" pivotButton="0" quotePrefix="1" xfId="1">
      <alignment vertical="top"/>
    </xf>
    <xf numFmtId="0" fontId="2" fillId="21" borderId="28" applyAlignment="1" pivotButton="0" quotePrefix="0" xfId="1">
      <alignment horizontal="center" vertical="top"/>
    </xf>
    <xf numFmtId="0" fontId="2" fillId="21" borderId="28" applyAlignment="1" pivotButton="0" quotePrefix="0" xfId="1">
      <alignment vertical="top"/>
    </xf>
    <xf numFmtId="0" fontId="24" fillId="21" borderId="28" applyAlignment="1" pivotButton="0" quotePrefix="0" xfId="1">
      <alignment horizontal="left" vertical="top"/>
    </xf>
    <xf numFmtId="0" fontId="61" fillId="21" borderId="28" applyAlignment="1" pivotButton="0" quotePrefix="1" xfId="1">
      <alignment vertical="top"/>
    </xf>
    <xf numFmtId="0" fontId="2" fillId="0" borderId="49" applyAlignment="1" pivotButton="0" quotePrefix="0" xfId="1">
      <alignment horizontal="left" vertical="top"/>
    </xf>
    <xf numFmtId="0" fontId="50" fillId="5" borderId="17" applyAlignment="1" pivotButton="0" quotePrefix="0" xfId="0">
      <alignment horizontal="center"/>
    </xf>
    <xf numFmtId="169" fontId="53" fillId="21" borderId="59" pivotButton="0" quotePrefix="0" xfId="8"/>
    <xf numFmtId="169" fontId="53" fillId="0" borderId="59" pivotButton="0" quotePrefix="0" xfId="8"/>
    <xf numFmtId="168" fontId="24" fillId="0" borderId="28" applyAlignment="1" pivotButton="0" quotePrefix="0" xfId="1">
      <alignment vertical="top"/>
    </xf>
    <xf numFmtId="168" fontId="39" fillId="0" borderId="28" applyAlignment="1" pivotButton="0" quotePrefix="0" xfId="2">
      <alignment horizontal="center" vertical="top"/>
    </xf>
    <xf numFmtId="0" fontId="8" fillId="0" borderId="0" applyAlignment="1" pivotButton="0" quotePrefix="0" xfId="0">
      <alignment vertical="top"/>
    </xf>
    <xf numFmtId="0" fontId="50" fillId="0" borderId="0" applyAlignment="1" pivotButton="0" quotePrefix="0" xfId="0">
      <alignment vertical="top"/>
    </xf>
    <xf numFmtId="0" fontId="25" fillId="0" borderId="49" applyAlignment="1" pivotButton="0" quotePrefix="0" xfId="1">
      <alignment vertical="top"/>
    </xf>
    <xf numFmtId="9" fontId="24" fillId="0" borderId="28" applyAlignment="1" pivotButton="0" quotePrefix="0" xfId="7">
      <alignment horizontal="left" vertical="top" wrapText="1"/>
    </xf>
    <xf numFmtId="9" fontId="6" fillId="0" borderId="28" applyAlignment="1" pivotButton="0" quotePrefix="0" xfId="7">
      <alignment horizontal="left" vertical="top"/>
    </xf>
    <xf numFmtId="0" fontId="1" fillId="0" borderId="28" applyAlignment="1" pivotButton="0" quotePrefix="0" xfId="1">
      <alignment vertical="top"/>
    </xf>
    <xf numFmtId="0" fontId="1" fillId="0" borderId="49" applyAlignment="1" pivotButton="0" quotePrefix="0" xfId="1">
      <alignment horizontal="left" vertical="top"/>
    </xf>
    <xf numFmtId="165" fontId="25" fillId="0" borderId="53" applyAlignment="1" pivotButton="0" quotePrefix="0" xfId="1">
      <alignment horizontal="center" vertical="top"/>
    </xf>
    <xf numFmtId="165" fontId="25" fillId="0" borderId="48" applyAlignment="1" pivotButton="0" quotePrefix="0" xfId="1">
      <alignment horizontal="center" vertical="top"/>
    </xf>
    <xf numFmtId="0" fontId="25" fillId="0" borderId="49" applyAlignment="1" pivotButton="0" quotePrefix="0" xfId="1">
      <alignment vertical="top"/>
    </xf>
    <xf numFmtId="165" fontId="6" fillId="23" borderId="69" applyAlignment="1" pivotButton="0" quotePrefix="0" xfId="1">
      <alignment horizontal="center" vertical="top"/>
    </xf>
    <xf numFmtId="165" fontId="62" fillId="20" borderId="63" applyAlignment="1" pivotButton="0" quotePrefix="0" xfId="2">
      <alignment horizontal="left" vertical="center"/>
    </xf>
    <xf numFmtId="165" fontId="62" fillId="20" borderId="53" applyAlignment="1" pivotButton="0" quotePrefix="0" xfId="2">
      <alignment horizontal="left" vertical="center"/>
    </xf>
    <xf numFmtId="165" fontId="62" fillId="0" borderId="28" applyAlignment="1" pivotButton="0" quotePrefix="0" xfId="2">
      <alignment horizontal="left" vertical="center"/>
    </xf>
    <xf numFmtId="165" fontId="62" fillId="0" borderId="63" applyAlignment="1" pivotButton="0" quotePrefix="0" xfId="2">
      <alignment horizontal="left" vertical="center"/>
    </xf>
    <xf numFmtId="165" fontId="65" fillId="0" borderId="28" applyAlignment="1" pivotButton="0" quotePrefix="0" xfId="2">
      <alignment horizontal="left" vertical="center"/>
    </xf>
    <xf numFmtId="9" fontId="64" fillId="0" borderId="28" applyAlignment="1" pivotButton="0" quotePrefix="0" xfId="4">
      <alignment horizontal="left" vertical="center"/>
    </xf>
    <xf numFmtId="165" fontId="62" fillId="0" borderId="53" applyAlignment="1" pivotButton="0" quotePrefix="0" xfId="2">
      <alignment horizontal="left" vertical="center"/>
    </xf>
    <xf numFmtId="165" fontId="65" fillId="0" borderId="56" applyAlignment="1" pivotButton="0" quotePrefix="0" xfId="2">
      <alignment horizontal="left" vertical="center"/>
    </xf>
    <xf numFmtId="165" fontId="65" fillId="0" borderId="28" applyAlignment="1" pivotButton="0" quotePrefix="0" xfId="2">
      <alignment horizontal="left" vertical="center"/>
    </xf>
    <xf numFmtId="165" fontId="65" fillId="0" borderId="28" applyAlignment="1" pivotButton="0" quotePrefix="1" xfId="2">
      <alignment horizontal="left" vertical="center"/>
    </xf>
    <xf numFmtId="9" fontId="64" fillId="0" borderId="63" applyAlignment="1" pivotButton="0" quotePrefix="0" xfId="4">
      <alignment horizontal="left" vertical="center"/>
    </xf>
    <xf numFmtId="9" fontId="64" fillId="0" borderId="53" applyAlignment="1" pivotButton="0" quotePrefix="0" xfId="4">
      <alignment horizontal="left" vertical="center"/>
    </xf>
    <xf numFmtId="165" fontId="65" fillId="0" borderId="62" applyAlignment="1" pivotButton="0" quotePrefix="0" xfId="2">
      <alignment horizontal="left" vertical="center"/>
    </xf>
    <xf numFmtId="165" fontId="62" fillId="0" borderId="63" applyAlignment="1" pivotButton="0" quotePrefix="0" xfId="2">
      <alignment horizontal="left" vertical="center"/>
    </xf>
    <xf numFmtId="165" fontId="62" fillId="0" borderId="53" applyAlignment="1" pivotButton="0" quotePrefix="0" xfId="2">
      <alignment horizontal="left" vertical="center"/>
    </xf>
    <xf numFmtId="165" fontId="65" fillId="20" borderId="56" applyAlignment="1" pivotButton="0" quotePrefix="0" xfId="2">
      <alignment horizontal="left" vertical="center"/>
    </xf>
    <xf numFmtId="165" fontId="65" fillId="20" borderId="28" applyAlignment="1" pivotButton="0" quotePrefix="0" xfId="2">
      <alignment horizontal="left" vertical="center"/>
    </xf>
    <xf numFmtId="165" fontId="66" fillId="0" borderId="28" applyAlignment="1" pivotButton="0" quotePrefix="0" xfId="2">
      <alignment horizontal="left" vertical="center"/>
    </xf>
    <xf numFmtId="165" fontId="63" fillId="0" borderId="28" applyAlignment="1" pivotButton="0" quotePrefix="0" xfId="2">
      <alignment horizontal="left" vertical="center"/>
    </xf>
    <xf numFmtId="9" fontId="67" fillId="0" borderId="28" applyAlignment="1" pivotButton="0" quotePrefix="0" xfId="7">
      <alignment horizontal="left" vertical="center"/>
    </xf>
    <xf numFmtId="168" fontId="63" fillId="0" borderId="28" applyAlignment="1" pivotButton="0" quotePrefix="0" xfId="2">
      <alignment horizontal="left" vertical="center"/>
    </xf>
    <xf numFmtId="165" fontId="62" fillId="20" borderId="28" applyAlignment="1" pivotButton="0" quotePrefix="0" xfId="2">
      <alignment horizontal="left" vertical="center"/>
    </xf>
    <xf numFmtId="165" fontId="65" fillId="20" borderId="49" applyAlignment="1" pivotButton="0" quotePrefix="0" xfId="2">
      <alignment horizontal="left" vertical="center"/>
    </xf>
    <xf numFmtId="165" fontId="63" fillId="20" borderId="28" applyAlignment="1" pivotButton="0" quotePrefix="0" xfId="2">
      <alignment horizontal="left" vertical="center"/>
    </xf>
    <xf numFmtId="165" fontId="62" fillId="0" borderId="67" applyAlignment="1" pivotButton="0" quotePrefix="0" xfId="2">
      <alignment horizontal="left" vertical="center"/>
    </xf>
    <xf numFmtId="165" fontId="62" fillId="20" borderId="68" applyAlignment="1" pivotButton="0" quotePrefix="0" xfId="2">
      <alignment horizontal="left" vertical="center"/>
    </xf>
    <xf numFmtId="165" fontId="63" fillId="27" borderId="28" applyAlignment="1" pivotButton="0" quotePrefix="0" xfId="2">
      <alignment horizontal="left" vertical="center"/>
    </xf>
    <xf numFmtId="0" fontId="73" fillId="0" borderId="28" applyAlignment="1" pivotButton="0" quotePrefix="0" xfId="1">
      <alignment horizontal="left" vertical="top"/>
    </xf>
    <xf numFmtId="0" fontId="73" fillId="0" borderId="28" applyAlignment="1" pivotButton="0" quotePrefix="0" xfId="1">
      <alignment vertical="top"/>
    </xf>
    <xf numFmtId="0" fontId="65" fillId="0" borderId="28" applyAlignment="1" pivotButton="0" quotePrefix="0" xfId="1">
      <alignment horizontal="center" vertical="top"/>
    </xf>
    <xf numFmtId="0" fontId="65" fillId="0" borderId="28" applyAlignment="1" pivotButton="0" quotePrefix="0" xfId="1">
      <alignment vertical="top"/>
    </xf>
    <xf numFmtId="0" fontId="59" fillId="0" borderId="28" applyAlignment="1" pivotButton="0" quotePrefix="0" xfId="1">
      <alignment horizontal="left" vertical="top"/>
    </xf>
    <xf numFmtId="0" fontId="65" fillId="0" borderId="28" applyAlignment="1" pivotButton="0" quotePrefix="0" xfId="1">
      <alignment horizontal="center" vertical="top"/>
    </xf>
    <xf numFmtId="0" fontId="68" fillId="0" borderId="28" applyAlignment="1" pivotButton="0" quotePrefix="0" xfId="1">
      <alignment vertical="top"/>
    </xf>
    <xf numFmtId="0" fontId="63" fillId="21" borderId="28" applyAlignment="1" pivotButton="0" quotePrefix="1" xfId="1">
      <alignment vertical="top"/>
    </xf>
    <xf numFmtId="0" fontId="65" fillId="21" borderId="28" applyAlignment="1" pivotButton="0" quotePrefix="0" xfId="1">
      <alignment horizontal="center" vertical="top"/>
    </xf>
    <xf numFmtId="0" fontId="65" fillId="21" borderId="28" applyAlignment="1" pivotButton="0" quotePrefix="0" xfId="1">
      <alignment vertical="top"/>
    </xf>
    <xf numFmtId="0" fontId="59" fillId="21" borderId="28" applyAlignment="1" pivotButton="0" quotePrefix="0" xfId="1">
      <alignment horizontal="left" vertical="top"/>
    </xf>
    <xf numFmtId="0" fontId="59" fillId="0" borderId="28" applyAlignment="1" pivotButton="0" quotePrefix="0" xfId="1">
      <alignment vertical="top"/>
    </xf>
    <xf numFmtId="0" fontId="63" fillId="26" borderId="28" applyAlignment="1" pivotButton="0" quotePrefix="0" xfId="1">
      <alignment vertical="top"/>
    </xf>
    <xf numFmtId="0" fontId="65" fillId="21" borderId="28" applyAlignment="1" pivotButton="0" quotePrefix="1" xfId="1">
      <alignment vertical="top"/>
    </xf>
    <xf numFmtId="0" fontId="65" fillId="0" borderId="28" applyAlignment="1" pivotButton="0" quotePrefix="0" xfId="1">
      <alignment horizontal="left" vertical="center"/>
    </xf>
    <xf numFmtId="0" fontId="65" fillId="0" borderId="28" applyAlignment="1" pivotButton="0" quotePrefix="0" xfId="1">
      <alignment horizontal="left" vertical="center"/>
    </xf>
    <xf numFmtId="0" fontId="74" fillId="18" borderId="48" applyAlignment="1" pivotButton="0" quotePrefix="0" xfId="1">
      <alignment horizontal="left" vertical="center"/>
    </xf>
    <xf numFmtId="0" fontId="74" fillId="0" borderId="28" applyAlignment="1" pivotButton="0" quotePrefix="0" xfId="1">
      <alignment horizontal="left" vertical="center"/>
    </xf>
    <xf numFmtId="0" fontId="59" fillId="0" borderId="28" applyAlignment="1" pivotButton="0" quotePrefix="0" xfId="1">
      <alignment horizontal="left" vertical="center"/>
    </xf>
    <xf numFmtId="165" fontId="62" fillId="0" borderId="28" applyAlignment="1" pivotButton="0" quotePrefix="0" xfId="2">
      <alignment horizontal="left" vertical="center"/>
    </xf>
    <xf numFmtId="0" fontId="62" fillId="19" borderId="28" applyAlignment="1" pivotButton="0" quotePrefix="0" xfId="1">
      <alignment horizontal="left" vertical="center"/>
    </xf>
    <xf numFmtId="0" fontId="62" fillId="0" borderId="28" applyAlignment="1" pivotButton="0" quotePrefix="0" xfId="1">
      <alignment horizontal="left" vertical="center"/>
    </xf>
    <xf numFmtId="0" fontId="62" fillId="19" borderId="53" applyAlignment="1" pivotButton="0" quotePrefix="0" xfId="1">
      <alignment horizontal="left" vertical="center"/>
    </xf>
    <xf numFmtId="0" fontId="63" fillId="0" borderId="28" applyAlignment="1" pivotButton="0" quotePrefix="0" xfId="1">
      <alignment horizontal="left" vertical="center"/>
    </xf>
    <xf numFmtId="0" fontId="75" fillId="0" borderId="28" applyAlignment="1" pivotButton="0" quotePrefix="0" xfId="1">
      <alignment horizontal="left" vertical="center"/>
    </xf>
    <xf numFmtId="167" fontId="66" fillId="0" borderId="28" applyAlignment="1" pivotButton="0" quotePrefix="0" xfId="3">
      <alignment horizontal="left" vertical="center"/>
    </xf>
    <xf numFmtId="37" fontId="63" fillId="0" borderId="28" applyAlignment="1" pivotButton="0" quotePrefix="0" xfId="3">
      <alignment horizontal="right" vertical="center"/>
    </xf>
    <xf numFmtId="167" fontId="66" fillId="0" borderId="56" applyAlignment="1" pivotButton="0" quotePrefix="0" xfId="3">
      <alignment horizontal="left" vertical="center"/>
    </xf>
    <xf numFmtId="167" fontId="66" fillId="0" borderId="53" applyAlignment="1" pivotButton="0" quotePrefix="0" xfId="3">
      <alignment horizontal="left" vertical="center"/>
    </xf>
    <xf numFmtId="37" fontId="71" fillId="0" borderId="28" applyAlignment="1" pivotButton="0" quotePrefix="0" xfId="3">
      <alignment horizontal="right" vertical="center"/>
    </xf>
    <xf numFmtId="167" fontId="66" fillId="0" borderId="49" applyAlignment="1" pivotButton="0" quotePrefix="0" xfId="3">
      <alignment horizontal="left" vertical="center"/>
    </xf>
    <xf numFmtId="0" fontId="65" fillId="0" borderId="28" applyAlignment="1" pivotButton="0" quotePrefix="0" xfId="1">
      <alignment horizontal="left" vertical="center"/>
    </xf>
    <xf numFmtId="167" fontId="66" fillId="19" borderId="61" applyAlignment="1" pivotButton="0" quotePrefix="0" xfId="3">
      <alignment horizontal="left" vertical="center"/>
    </xf>
    <xf numFmtId="167" fontId="66" fillId="19" borderId="65" applyAlignment="1" pivotButton="0" quotePrefix="0" xfId="3">
      <alignment horizontal="left" vertical="center"/>
    </xf>
    <xf numFmtId="0" fontId="69" fillId="0" borderId="28" applyAlignment="1" pivotButton="0" quotePrefix="0" xfId="1">
      <alignment horizontal="left" vertical="center"/>
    </xf>
    <xf numFmtId="165" fontId="65" fillId="0" borderId="28" applyAlignment="1" pivotButton="0" quotePrefix="0" xfId="1">
      <alignment horizontal="left" vertical="center"/>
    </xf>
    <xf numFmtId="0" fontId="59" fillId="0" borderId="28" applyAlignment="1" pivotButton="0" quotePrefix="0" xfId="1">
      <alignment horizontal="left" vertical="center"/>
    </xf>
    <xf numFmtId="9" fontId="65" fillId="0" borderId="28" applyAlignment="1" pivotButton="0" quotePrefix="0" xfId="7">
      <alignment horizontal="left" vertical="center"/>
    </xf>
    <xf numFmtId="165" fontId="62" fillId="0" borderId="28" applyAlignment="1" pivotButton="0" quotePrefix="0" xfId="1">
      <alignment horizontal="left" vertical="center"/>
    </xf>
    <xf numFmtId="0" fontId="68" fillId="0" borderId="28" applyAlignment="1" pivotButton="0" quotePrefix="0" xfId="1">
      <alignment horizontal="left" vertical="center"/>
    </xf>
    <xf numFmtId="0" fontId="62" fillId="0" borderId="28" applyAlignment="1" pivotButton="0" quotePrefix="0" xfId="1">
      <alignment horizontal="left" vertical="center"/>
    </xf>
    <xf numFmtId="0" fontId="62" fillId="0" borderId="28" applyAlignment="1" pivotButton="0" quotePrefix="0" xfId="1">
      <alignment horizontal="left" vertical="center"/>
    </xf>
    <xf numFmtId="165" fontId="59" fillId="0" borderId="28" applyAlignment="1" pivotButton="0" quotePrefix="0" xfId="2">
      <alignment horizontal="left" vertical="center"/>
    </xf>
    <xf numFmtId="165" fontId="68" fillId="0" borderId="28" applyAlignment="1" pivotButton="0" quotePrefix="0" xfId="2">
      <alignment horizontal="left" vertical="center"/>
    </xf>
    <xf numFmtId="165" fontId="65" fillId="21" borderId="28" applyAlignment="1" pivotButton="0" quotePrefix="0" xfId="2">
      <alignment horizontal="left" vertical="center"/>
    </xf>
    <xf numFmtId="0" fontId="65" fillId="27" borderId="28" applyAlignment="1" pivotButton="0" quotePrefix="0" xfId="1">
      <alignment horizontal="left" vertical="center"/>
    </xf>
    <xf numFmtId="165" fontId="62" fillId="24" borderId="28" applyAlignment="1" pivotButton="0" quotePrefix="0" xfId="1">
      <alignment horizontal="left" vertical="center"/>
    </xf>
    <xf numFmtId="0" fontId="62" fillId="0" borderId="49" applyAlignment="1" pivotButton="0" quotePrefix="0" xfId="1">
      <alignment horizontal="left" vertical="center"/>
    </xf>
    <xf numFmtId="0" fontId="65" fillId="0" borderId="49" applyAlignment="1" pivotButton="0" quotePrefix="0" xfId="1">
      <alignment horizontal="left" vertical="center"/>
    </xf>
    <xf numFmtId="0" fontId="77" fillId="0" borderId="28" applyAlignment="1" pivotButton="0" quotePrefix="0" xfId="1">
      <alignment horizontal="left" vertical="center"/>
    </xf>
    <xf numFmtId="0" fontId="69" fillId="0" borderId="28" applyAlignment="1" pivotButton="0" quotePrefix="0" xfId="1">
      <alignment horizontal="left" vertical="center"/>
    </xf>
    <xf numFmtId="0" fontId="59" fillId="0" borderId="28" applyAlignment="1" pivotButton="0" quotePrefix="0" xfId="1">
      <alignment horizontal="left" vertical="center"/>
    </xf>
    <xf numFmtId="0" fontId="59" fillId="0" borderId="28" applyAlignment="1" pivotButton="0" quotePrefix="0" xfId="1">
      <alignment horizontal="left" vertical="center" wrapText="1"/>
    </xf>
    <xf numFmtId="0" fontId="65" fillId="0" borderId="49" applyAlignment="1" pivotButton="0" quotePrefix="0" xfId="1">
      <alignment horizontal="left" vertical="center" indent="1"/>
    </xf>
    <xf numFmtId="165" fontId="64" fillId="0" borderId="28" applyAlignment="1" pivotButton="0" quotePrefix="0" xfId="2">
      <alignment horizontal="left" vertical="center"/>
    </xf>
    <xf numFmtId="165" fontId="65" fillId="21" borderId="56" applyAlignment="1" pivotButton="0" quotePrefix="0" xfId="2">
      <alignment horizontal="left" vertical="center"/>
    </xf>
    <xf numFmtId="0" fontId="59" fillId="0" borderId="0" applyAlignment="1" pivotButton="0" quotePrefix="0" xfId="0">
      <alignment horizontal="left" vertical="center"/>
    </xf>
    <xf numFmtId="165" fontId="77" fillId="0" borderId="28" applyAlignment="1" pivotButton="0" quotePrefix="0" xfId="2">
      <alignment horizontal="left" vertical="center"/>
    </xf>
    <xf numFmtId="165" fontId="69" fillId="0" borderId="28" applyAlignment="1" pivotButton="0" quotePrefix="0" xfId="2">
      <alignment horizontal="left" vertical="center"/>
    </xf>
    <xf numFmtId="165" fontId="69" fillId="0" borderId="28" applyAlignment="1" pivotButton="0" quotePrefix="0" xfId="2">
      <alignment horizontal="left" vertical="center"/>
    </xf>
    <xf numFmtId="165" fontId="69" fillId="0" borderId="63" applyAlignment="1" pivotButton="0" quotePrefix="0" xfId="2">
      <alignment horizontal="left" vertical="center"/>
    </xf>
    <xf numFmtId="165" fontId="69" fillId="0" borderId="53" applyAlignment="1" pivotButton="0" quotePrefix="0" xfId="2">
      <alignment horizontal="left" vertical="center"/>
    </xf>
    <xf numFmtId="0" fontId="80" fillId="0" borderId="28" applyAlignment="1" pivotButton="0" quotePrefix="0" xfId="1">
      <alignment horizontal="left" vertical="center"/>
    </xf>
    <xf numFmtId="0" fontId="69" fillId="19" borderId="61" applyAlignment="1" pivotButton="0" quotePrefix="0" xfId="1">
      <alignment horizontal="left" vertical="center"/>
    </xf>
    <xf numFmtId="165" fontId="62" fillId="19" borderId="61" applyAlignment="1" pivotButton="0" quotePrefix="0" xfId="2">
      <alignment horizontal="left" vertical="center"/>
    </xf>
    <xf numFmtId="165" fontId="77" fillId="0" borderId="28" applyAlignment="1" pivotButton="0" quotePrefix="0" xfId="2">
      <alignment horizontal="left" vertical="center"/>
    </xf>
    <xf numFmtId="165" fontId="66" fillId="0" borderId="53" applyAlignment="1" pivotButton="0" quotePrefix="0" xfId="2">
      <alignment horizontal="left" vertical="center"/>
    </xf>
    <xf numFmtId="168" fontId="59" fillId="0" borderId="28" applyAlignment="1" pivotButton="0" quotePrefix="0" xfId="1">
      <alignment horizontal="left" vertical="center"/>
    </xf>
    <xf numFmtId="9" fontId="59" fillId="0" borderId="28" applyAlignment="1" pivotButton="0" quotePrefix="0" xfId="7">
      <alignment horizontal="left" vertical="center" wrapText="1"/>
    </xf>
    <xf numFmtId="165" fontId="66" fillId="0" borderId="53" applyAlignment="1" pivotButton="0" quotePrefix="0" xfId="2">
      <alignment horizontal="left" vertical="center"/>
    </xf>
    <xf numFmtId="168" fontId="59" fillId="0" borderId="28" applyAlignment="1" pivotButton="0" quotePrefix="0" xfId="1">
      <alignment horizontal="left" vertical="center" wrapText="1"/>
    </xf>
    <xf numFmtId="165" fontId="63" fillId="0" borderId="28" applyAlignment="1" pivotButton="0" quotePrefix="0" xfId="2">
      <alignment horizontal="left" vertical="center"/>
    </xf>
    <xf numFmtId="165" fontId="66" fillId="0" borderId="28" applyAlignment="1" pivotButton="0" quotePrefix="0" xfId="2">
      <alignment horizontal="left" vertical="center"/>
    </xf>
    <xf numFmtId="0" fontId="63" fillId="0" borderId="28" applyAlignment="1" pivotButton="0" quotePrefix="0" xfId="1">
      <alignment horizontal="left" vertical="center"/>
    </xf>
    <xf numFmtId="165" fontId="62" fillId="19" borderId="65" applyAlignment="1" pivotButton="0" quotePrefix="0" xfId="2">
      <alignment horizontal="left" vertical="center"/>
    </xf>
    <xf numFmtId="165" fontId="58" fillId="0" borderId="28" applyAlignment="1" pivotButton="0" quotePrefix="0" xfId="2">
      <alignment horizontal="left" vertical="center"/>
    </xf>
    <xf numFmtId="165" fontId="58" fillId="0" borderId="53" applyAlignment="1" pivotButton="0" quotePrefix="0" xfId="2">
      <alignment horizontal="left" vertical="center"/>
    </xf>
    <xf numFmtId="165" fontId="58" fillId="0" borderId="28" applyAlignment="1" pivotButton="0" quotePrefix="0" xfId="2">
      <alignment horizontal="left" vertical="center"/>
    </xf>
    <xf numFmtId="165" fontId="63" fillId="0" borderId="53" applyAlignment="1" pivotButton="0" quotePrefix="0" xfId="2">
      <alignment horizontal="left" vertical="center"/>
    </xf>
    <xf numFmtId="165" fontId="63" fillId="0" borderId="28" applyAlignment="1" pivotButton="0" quotePrefix="0" xfId="2">
      <alignment horizontal="left" vertical="center"/>
    </xf>
    <xf numFmtId="165" fontId="69" fillId="0" borderId="28" applyAlignment="1" pivotButton="0" quotePrefix="0" xfId="2">
      <alignment horizontal="left" vertical="center"/>
    </xf>
    <xf numFmtId="0" fontId="65" fillId="22" borderId="28" applyAlignment="1" pivotButton="0" quotePrefix="0" xfId="1">
      <alignment horizontal="left" vertical="center"/>
    </xf>
    <xf numFmtId="165" fontId="62" fillId="22" borderId="61" applyAlignment="1" pivotButton="0" quotePrefix="0" xfId="2">
      <alignment horizontal="left" vertical="center"/>
    </xf>
    <xf numFmtId="0" fontId="65" fillId="0" borderId="28" applyAlignment="1" pivotButton="0" quotePrefix="0" xfId="1">
      <alignment horizontal="left" vertical="center"/>
    </xf>
    <xf numFmtId="0" fontId="65" fillId="23" borderId="67" applyAlignment="1" pivotButton="0" quotePrefix="0" xfId="1">
      <alignment horizontal="left" vertical="center"/>
    </xf>
    <xf numFmtId="165" fontId="62" fillId="23" borderId="67" applyAlignment="1" pivotButton="0" quotePrefix="0" xfId="1">
      <alignment horizontal="left" vertical="center"/>
    </xf>
    <xf numFmtId="165" fontId="62" fillId="24" borderId="67" applyAlignment="1" pivotButton="0" quotePrefix="0" xfId="1">
      <alignment horizontal="left" vertical="center"/>
    </xf>
    <xf numFmtId="165" fontId="62" fillId="23" borderId="68" applyAlignment="1" pivotButton="0" quotePrefix="0" xfId="1">
      <alignment horizontal="left" vertical="center"/>
    </xf>
    <xf numFmtId="165" fontId="65" fillId="0" borderId="28" applyAlignment="1" pivotButton="0" quotePrefix="0" xfId="1">
      <alignment horizontal="left" vertical="center"/>
    </xf>
    <xf numFmtId="165" fontId="63" fillId="20" borderId="49" applyAlignment="1" pivotButton="0" quotePrefix="0" xfId="2">
      <alignment horizontal="left" vertical="center"/>
    </xf>
    <xf numFmtId="165" fontId="65" fillId="0" borderId="28" applyAlignment="1" pivotButton="0" quotePrefix="0" xfId="1">
      <alignment horizontal="left" vertical="center"/>
    </xf>
    <xf numFmtId="165" fontId="65" fillId="0" borderId="28" applyAlignment="1" pivotButton="0" quotePrefix="0" xfId="1">
      <alignment horizontal="left" vertical="center"/>
    </xf>
    <xf numFmtId="0" fontId="65" fillId="0" borderId="44" applyAlignment="1" pivotButton="0" quotePrefix="0" xfId="1">
      <alignment horizontal="left" vertical="center"/>
    </xf>
    <xf numFmtId="165" fontId="65" fillId="0" borderId="44" applyAlignment="1" pivotButton="0" quotePrefix="0" xfId="1">
      <alignment horizontal="left" vertical="center"/>
    </xf>
    <xf numFmtId="165" fontId="65" fillId="0" borderId="48" applyAlignment="1" pivotButton="0" quotePrefix="0" xfId="1">
      <alignment horizontal="left" vertical="center"/>
    </xf>
    <xf numFmtId="165" fontId="65" fillId="0" borderId="53" applyAlignment="1" pivotButton="0" quotePrefix="0" xfId="1">
      <alignment horizontal="left" vertical="center"/>
    </xf>
    <xf numFmtId="0" fontId="62" fillId="0" borderId="66" applyAlignment="1" pivotButton="0" quotePrefix="0" xfId="1">
      <alignment horizontal="left" vertical="center"/>
    </xf>
    <xf numFmtId="0" fontId="65" fillId="0" borderId="67" applyAlignment="1" pivotButton="0" quotePrefix="0" xfId="1">
      <alignment horizontal="left" vertical="center"/>
    </xf>
    <xf numFmtId="0" fontId="65" fillId="0" borderId="68" applyAlignment="1" pivotButton="0" quotePrefix="0" xfId="1">
      <alignment horizontal="left" vertical="center"/>
    </xf>
    <xf numFmtId="0" fontId="62" fillId="0" borderId="43" applyAlignment="1" pivotButton="0" quotePrefix="0" xfId="1">
      <alignment horizontal="left" vertical="center"/>
    </xf>
    <xf numFmtId="0" fontId="65" fillId="0" borderId="44" applyAlignment="1" pivotButton="0" quotePrefix="0" xfId="1">
      <alignment horizontal="left" vertical="center"/>
    </xf>
    <xf numFmtId="0" fontId="65" fillId="0" borderId="48" applyAlignment="1" pivotButton="0" quotePrefix="0" xfId="1">
      <alignment horizontal="left" vertical="center"/>
    </xf>
    <xf numFmtId="0" fontId="65" fillId="0" borderId="48" applyAlignment="1" pivotButton="0" quotePrefix="0" xfId="1">
      <alignment horizontal="left" vertical="center"/>
    </xf>
    <xf numFmtId="0" fontId="69" fillId="0" borderId="66" applyAlignment="1" pivotButton="0" quotePrefix="0" xfId="1">
      <alignment horizontal="left" vertical="center"/>
    </xf>
    <xf numFmtId="165" fontId="65" fillId="0" borderId="67" applyAlignment="1" pivotButton="0" quotePrefix="0" xfId="2">
      <alignment horizontal="left" vertical="center"/>
    </xf>
    <xf numFmtId="0" fontId="62" fillId="0" borderId="67" applyAlignment="1" pivotButton="0" quotePrefix="0" xfId="1">
      <alignment horizontal="left" vertical="center"/>
    </xf>
    <xf numFmtId="165" fontId="66" fillId="0" borderId="67" applyAlignment="1" pivotButton="0" quotePrefix="0" xfId="2">
      <alignment horizontal="left" vertical="center"/>
    </xf>
    <xf numFmtId="165" fontId="62" fillId="0" borderId="68" applyAlignment="1" pivotButton="0" quotePrefix="0" xfId="2">
      <alignment horizontal="left" vertical="center"/>
    </xf>
    <xf numFmtId="165" fontId="65" fillId="0" borderId="67" applyAlignment="1" pivotButton="0" quotePrefix="0" xfId="2">
      <alignment horizontal="left" vertical="center"/>
    </xf>
    <xf numFmtId="0" fontId="63" fillId="0" borderId="0" applyAlignment="1" pivotButton="0" quotePrefix="0" xfId="0">
      <alignment horizontal="left" vertical="center"/>
    </xf>
    <xf numFmtId="0" fontId="68" fillId="0" borderId="28" applyAlignment="1" pivotButton="0" quotePrefix="0" xfId="1">
      <alignment horizontal="left" vertical="center"/>
    </xf>
    <xf numFmtId="165" fontId="62" fillId="0" borderId="28" applyAlignment="1" pivotButton="0" quotePrefix="0" xfId="1">
      <alignment horizontal="left" vertical="center"/>
    </xf>
    <xf numFmtId="0" fontId="62" fillId="30" borderId="28" applyAlignment="1" pivotButton="0" quotePrefix="0" xfId="1">
      <alignment horizontal="center" vertical="center"/>
    </xf>
    <xf numFmtId="0" fontId="62" fillId="30" borderId="28" applyAlignment="1" pivotButton="0" quotePrefix="0" xfId="1">
      <alignment horizontal="left" vertical="center"/>
    </xf>
    <xf numFmtId="165" fontId="62" fillId="30" borderId="28" applyAlignment="1" pivotButton="0" quotePrefix="0" xfId="1">
      <alignment horizontal="left" vertical="center"/>
    </xf>
    <xf numFmtId="165" fontId="63" fillId="30" borderId="28" applyAlignment="1" pivotButton="0" quotePrefix="0" xfId="2">
      <alignment horizontal="left" vertical="center"/>
    </xf>
    <xf numFmtId="165" fontId="65" fillId="30" borderId="28" applyAlignment="1" pivotButton="0" quotePrefix="0" xfId="2">
      <alignment horizontal="left" vertical="center"/>
    </xf>
    <xf numFmtId="165" fontId="69" fillId="30" borderId="28" applyAlignment="1" pivotButton="0" quotePrefix="0" xfId="2">
      <alignment horizontal="left" vertical="center"/>
    </xf>
    <xf numFmtId="165" fontId="62" fillId="30" borderId="28" applyAlignment="1" pivotButton="0" quotePrefix="0" xfId="2">
      <alignment horizontal="left" vertical="center"/>
    </xf>
    <xf numFmtId="165" fontId="62" fillId="30" borderId="67" applyAlignment="1" pivotButton="0" quotePrefix="0" xfId="1">
      <alignment horizontal="left" vertical="center"/>
    </xf>
    <xf numFmtId="0" fontId="65" fillId="30" borderId="28" applyAlignment="1" pivotButton="0" quotePrefix="0" xfId="1">
      <alignment horizontal="left" vertical="center"/>
    </xf>
    <xf numFmtId="165" fontId="65" fillId="30" borderId="44" applyAlignment="1" pivotButton="0" quotePrefix="0" xfId="2">
      <alignment horizontal="left" vertical="center"/>
    </xf>
    <xf numFmtId="165" fontId="70" fillId="30" borderId="28" applyAlignment="1" pivotButton="0" quotePrefix="0" xfId="2">
      <alignment horizontal="left" vertical="center"/>
    </xf>
    <xf numFmtId="165" fontId="72" fillId="30" borderId="28" applyAlignment="1" pivotButton="0" quotePrefix="0" xfId="2">
      <alignment horizontal="left" vertical="center"/>
    </xf>
    <xf numFmtId="0" fontId="65" fillId="30" borderId="28" applyAlignment="1" pivotButton="0" quotePrefix="0" xfId="1">
      <alignment horizontal="left" vertical="center"/>
    </xf>
    <xf numFmtId="42" fontId="70" fillId="0" borderId="28" applyAlignment="1" pivotButton="0" quotePrefix="0" xfId="1">
      <alignment horizontal="right" vertical="center"/>
    </xf>
    <xf numFmtId="165" fontId="65" fillId="0" borderId="49" applyAlignment="1" pivotButton="0" quotePrefix="0" xfId="1">
      <alignment horizontal="left" vertical="center"/>
    </xf>
    <xf numFmtId="165" fontId="62" fillId="0" borderId="49" applyAlignment="1" pivotButton="0" quotePrefix="0" xfId="1">
      <alignment horizontal="left" vertical="center"/>
    </xf>
    <xf numFmtId="165" fontId="63" fillId="0" borderId="49" applyAlignment="1" pivotButton="0" quotePrefix="0" xfId="2">
      <alignment horizontal="left" vertical="center"/>
    </xf>
    <xf numFmtId="165" fontId="65" fillId="0" borderId="49" applyAlignment="1" pivotButton="0" quotePrefix="0" xfId="2">
      <alignment horizontal="left" vertical="center"/>
    </xf>
    <xf numFmtId="165" fontId="65" fillId="0" borderId="49" applyAlignment="1" pivotButton="0" quotePrefix="0" xfId="2">
      <alignment horizontal="left" vertical="center"/>
    </xf>
    <xf numFmtId="165" fontId="62" fillId="0" borderId="49" applyAlignment="1" pivotButton="0" quotePrefix="0" xfId="1">
      <alignment horizontal="left" vertical="center"/>
    </xf>
    <xf numFmtId="0" fontId="62" fillId="0" borderId="85" applyAlignment="1" pivotButton="0" quotePrefix="0" xfId="1">
      <alignment horizontal="left" vertical="center"/>
    </xf>
    <xf numFmtId="37" fontId="63" fillId="0" borderId="85" applyAlignment="1" pivotButton="0" quotePrefix="0" xfId="3">
      <alignment horizontal="right" vertical="center"/>
    </xf>
    <xf numFmtId="167" fontId="66" fillId="0" borderId="85" applyAlignment="1" pivotButton="0" quotePrefix="0" xfId="3">
      <alignment horizontal="left" vertical="center"/>
    </xf>
    <xf numFmtId="165" fontId="65" fillId="0" borderId="85" applyAlignment="1" pivotButton="0" quotePrefix="0" xfId="1">
      <alignment horizontal="left" vertical="center"/>
    </xf>
    <xf numFmtId="42" fontId="70" fillId="0" borderId="85" applyAlignment="1" pivotButton="0" quotePrefix="0" xfId="1">
      <alignment horizontal="right" vertical="center"/>
    </xf>
    <xf numFmtId="165" fontId="63" fillId="0" borderId="85" applyAlignment="1" pivotButton="0" quotePrefix="0" xfId="2">
      <alignment horizontal="left" vertical="center"/>
    </xf>
    <xf numFmtId="0" fontId="73" fillId="30" borderId="28" applyAlignment="1" pivotButton="0" quotePrefix="0" xfId="1">
      <alignment horizontal="left" vertical="center"/>
    </xf>
    <xf numFmtId="165" fontId="65" fillId="30" borderId="43" applyAlignment="1" pivotButton="0" quotePrefix="0" xfId="2">
      <alignment horizontal="left" vertical="center"/>
    </xf>
    <xf numFmtId="165" fontId="65" fillId="30" borderId="71" applyAlignment="1" pivotButton="0" quotePrefix="0" xfId="2">
      <alignment horizontal="left" vertical="center"/>
    </xf>
    <xf numFmtId="165" fontId="65" fillId="30" borderId="48" applyAlignment="1" pivotButton="0" quotePrefix="0" xfId="2">
      <alignment horizontal="left" vertical="center"/>
    </xf>
    <xf numFmtId="0" fontId="59" fillId="30" borderId="28" applyAlignment="1" pivotButton="0" quotePrefix="0" xfId="1">
      <alignment horizontal="left" vertical="center"/>
    </xf>
    <xf numFmtId="165" fontId="65" fillId="30" borderId="49" applyAlignment="1" pivotButton="0" quotePrefix="0" xfId="2">
      <alignment horizontal="left" vertical="center"/>
    </xf>
    <xf numFmtId="165" fontId="65" fillId="30" borderId="63" applyAlignment="1" pivotButton="0" quotePrefix="0" xfId="2">
      <alignment horizontal="left" vertical="center"/>
    </xf>
    <xf numFmtId="165" fontId="65" fillId="30" borderId="53" applyAlignment="1" pivotButton="0" quotePrefix="0" xfId="2">
      <alignment horizontal="left" vertical="center"/>
    </xf>
    <xf numFmtId="165" fontId="65" fillId="30" borderId="72" applyAlignment="1" pivotButton="0" quotePrefix="0" xfId="2">
      <alignment horizontal="left" vertical="center"/>
    </xf>
    <xf numFmtId="165" fontId="71" fillId="30" borderId="28" applyAlignment="1" pivotButton="0" quotePrefix="0" xfId="2">
      <alignment horizontal="left" vertical="center"/>
    </xf>
    <xf numFmtId="0" fontId="68" fillId="30" borderId="28" applyAlignment="1" pivotButton="0" quotePrefix="0" xfId="1">
      <alignment horizontal="left" vertical="center"/>
    </xf>
    <xf numFmtId="165" fontId="69" fillId="30" borderId="49" applyAlignment="1" pivotButton="0" quotePrefix="0" xfId="2">
      <alignment horizontal="left" vertical="center"/>
    </xf>
    <xf numFmtId="165" fontId="69" fillId="30" borderId="63" applyAlignment="1" pivotButton="0" quotePrefix="0" xfId="2">
      <alignment horizontal="left" vertical="center"/>
    </xf>
    <xf numFmtId="165" fontId="69" fillId="30" borderId="53" applyAlignment="1" pivotButton="0" quotePrefix="0" xfId="2">
      <alignment horizontal="left" vertical="center"/>
    </xf>
    <xf numFmtId="0" fontId="58" fillId="30" borderId="0" applyAlignment="1" pivotButton="0" quotePrefix="0" xfId="0">
      <alignment horizontal="left" vertical="center"/>
    </xf>
    <xf numFmtId="165" fontId="63" fillId="30" borderId="49" applyAlignment="1" pivotButton="0" quotePrefix="0" xfId="2">
      <alignment horizontal="left" vertical="center"/>
    </xf>
    <xf numFmtId="165" fontId="63" fillId="30" borderId="63" applyAlignment="1" pivotButton="0" quotePrefix="0" xfId="2">
      <alignment horizontal="left" vertical="center"/>
    </xf>
    <xf numFmtId="165" fontId="63" fillId="30" borderId="53" applyAlignment="1" pivotButton="0" quotePrefix="0" xfId="2">
      <alignment horizontal="left" vertical="center"/>
    </xf>
    <xf numFmtId="0" fontId="59" fillId="30" borderId="28" applyAlignment="1" pivotButton="0" quotePrefix="0" xfId="1">
      <alignment horizontal="left" vertical="center" wrapText="1"/>
    </xf>
    <xf numFmtId="165" fontId="59" fillId="30" borderId="28" applyAlignment="1" pivotButton="0" quotePrefix="0" xfId="2">
      <alignment horizontal="left" vertical="center"/>
    </xf>
    <xf numFmtId="165" fontId="62" fillId="30" borderId="66" applyAlignment="1" pivotButton="0" quotePrefix="0" xfId="1">
      <alignment horizontal="left" vertical="center"/>
    </xf>
    <xf numFmtId="165" fontId="62" fillId="30" borderId="73" applyAlignment="1" pivotButton="0" quotePrefix="0" xfId="1">
      <alignment horizontal="left" vertical="center"/>
    </xf>
    <xf numFmtId="165" fontId="62" fillId="30" borderId="68" applyAlignment="1" pivotButton="0" quotePrefix="0" xfId="1">
      <alignment horizontal="left" vertical="center"/>
    </xf>
    <xf numFmtId="165" fontId="62" fillId="30" borderId="28" applyAlignment="1" pivotButton="0" quotePrefix="0" xfId="1">
      <alignment horizontal="left" vertical="center"/>
    </xf>
    <xf numFmtId="0" fontId="81" fillId="0" borderId="28" applyAlignment="1" pivotButton="0" quotePrefix="0" xfId="1">
      <alignment horizontal="center" vertical="top"/>
    </xf>
    <xf numFmtId="0" fontId="62" fillId="19" borderId="85" applyAlignment="1" pivotButton="0" quotePrefix="0" xfId="1">
      <alignment horizontal="center" vertical="center"/>
    </xf>
    <xf numFmtId="0" fontId="74" fillId="28" borderId="46" applyAlignment="1" pivotButton="0" quotePrefix="0" xfId="1">
      <alignment horizontal="centerContinuous" vertical="center"/>
    </xf>
    <xf numFmtId="0" fontId="74" fillId="28" borderId="47" applyAlignment="1" pivotButton="0" quotePrefix="0" xfId="1">
      <alignment horizontal="centerContinuous" vertical="center"/>
    </xf>
    <xf numFmtId="165" fontId="65" fillId="27" borderId="49" applyAlignment="1" pivotButton="0" quotePrefix="0" xfId="1">
      <alignment horizontal="left" vertical="center"/>
    </xf>
    <xf numFmtId="42" fontId="62" fillId="27" borderId="28" applyAlignment="1" pivotButton="0" quotePrefix="0" xfId="1">
      <alignment horizontal="right" vertical="center"/>
    </xf>
    <xf numFmtId="37" fontId="71" fillId="0" borderId="85" applyAlignment="1" pivotButton="0" quotePrefix="0" xfId="3">
      <alignment horizontal="right" vertical="center"/>
    </xf>
    <xf numFmtId="165" fontId="62" fillId="20" borderId="85" applyAlignment="1" pivotButton="0" quotePrefix="0" xfId="2">
      <alignment horizontal="left" vertical="center"/>
    </xf>
    <xf numFmtId="165" fontId="62" fillId="0" borderId="85" applyAlignment="1" pivotButton="0" quotePrefix="0" xfId="2">
      <alignment horizontal="left" vertical="center"/>
    </xf>
    <xf numFmtId="9" fontId="64" fillId="0" borderId="85" applyAlignment="1" pivotButton="0" quotePrefix="0" xfId="4">
      <alignment horizontal="left" vertical="center"/>
    </xf>
    <xf numFmtId="165" fontId="62" fillId="0" borderId="85" applyAlignment="1" pivotButton="0" quotePrefix="0" xfId="2">
      <alignment horizontal="left" vertical="center"/>
    </xf>
    <xf numFmtId="165" fontId="64" fillId="0" borderId="85" applyAlignment="1" pivotButton="0" quotePrefix="0" xfId="2">
      <alignment horizontal="left" vertical="center"/>
    </xf>
    <xf numFmtId="165" fontId="69" fillId="0" borderId="85" applyAlignment="1" pivotButton="0" quotePrefix="0" xfId="2">
      <alignment horizontal="left" vertical="center"/>
    </xf>
    <xf numFmtId="165" fontId="62" fillId="19" borderId="87" applyAlignment="1" pivotButton="0" quotePrefix="0" xfId="2">
      <alignment horizontal="left" vertical="center"/>
    </xf>
    <xf numFmtId="165" fontId="77" fillId="0" borderId="85" applyAlignment="1" pivotButton="0" quotePrefix="0" xfId="2">
      <alignment horizontal="left" vertical="center"/>
    </xf>
    <xf numFmtId="165" fontId="58" fillId="0" borderId="85" applyAlignment="1" pivotButton="0" quotePrefix="0" xfId="2">
      <alignment horizontal="left" vertical="center"/>
    </xf>
    <xf numFmtId="165" fontId="62" fillId="22" borderId="87" applyAlignment="1" pivotButton="0" quotePrefix="0" xfId="2">
      <alignment horizontal="left" vertical="center"/>
    </xf>
    <xf numFmtId="165" fontId="62" fillId="23" borderId="86" applyAlignment="1" pivotButton="0" quotePrefix="0" xfId="1">
      <alignment horizontal="left" vertical="center"/>
    </xf>
    <xf numFmtId="0" fontId="65" fillId="0" borderId="85" applyAlignment="1" pivotButton="0" quotePrefix="0" xfId="1">
      <alignment horizontal="left" vertical="center"/>
    </xf>
    <xf numFmtId="165" fontId="65" fillId="30" borderId="85" applyAlignment="1" pivotButton="0" quotePrefix="0" xfId="2">
      <alignment horizontal="left" vertical="center"/>
    </xf>
    <xf numFmtId="165" fontId="70" fillId="30" borderId="85" applyAlignment="1" pivotButton="0" quotePrefix="0" xfId="2">
      <alignment horizontal="left" vertical="center"/>
    </xf>
    <xf numFmtId="165" fontId="65" fillId="0" borderId="85" applyAlignment="1" pivotButton="0" quotePrefix="0" xfId="1">
      <alignment horizontal="left" vertical="center"/>
    </xf>
    <xf numFmtId="165" fontId="66" fillId="0" borderId="85" applyAlignment="1" pivotButton="0" quotePrefix="0" xfId="2">
      <alignment horizontal="left" vertical="center"/>
    </xf>
    <xf numFmtId="165" fontId="62" fillId="24" borderId="86" applyAlignment="1" pivotButton="0" quotePrefix="0" xfId="1">
      <alignment horizontal="left" vertical="center"/>
    </xf>
    <xf numFmtId="170" fontId="65" fillId="0" borderId="85" applyAlignment="1" pivotButton="0" quotePrefix="0" xfId="1">
      <alignment horizontal="left" vertical="center"/>
    </xf>
    <xf numFmtId="170" fontId="65" fillId="0" borderId="28" applyAlignment="1" pivotButton="0" quotePrefix="0" xfId="1">
      <alignment horizontal="left" vertical="center"/>
    </xf>
    <xf numFmtId="170" fontId="62" fillId="0" borderId="85" applyAlignment="1" pivotButton="0" quotePrefix="0" xfId="1">
      <alignment horizontal="left" vertical="center"/>
    </xf>
    <xf numFmtId="170" fontId="62" fillId="0" borderId="28" applyAlignment="1" pivotButton="0" quotePrefix="0" xfId="1">
      <alignment horizontal="left" vertical="center"/>
    </xf>
    <xf numFmtId="170" fontId="63" fillId="0" borderId="85" applyAlignment="1" pivotButton="0" quotePrefix="0" xfId="2">
      <alignment horizontal="left" vertical="center"/>
    </xf>
    <xf numFmtId="170" fontId="63" fillId="0" borderId="28" applyAlignment="1" pivotButton="0" quotePrefix="0" xfId="2">
      <alignment horizontal="left" vertical="center"/>
    </xf>
    <xf numFmtId="170" fontId="65" fillId="0" borderId="85" applyAlignment="1" pivotButton="0" quotePrefix="0" xfId="2">
      <alignment horizontal="left" vertical="center"/>
    </xf>
    <xf numFmtId="170" fontId="65" fillId="0" borderId="28" applyAlignment="1" pivotButton="0" quotePrefix="0" xfId="2">
      <alignment horizontal="left" vertical="center"/>
    </xf>
    <xf numFmtId="170" fontId="65" fillId="30" borderId="85" applyAlignment="1" pivotButton="0" quotePrefix="0" xfId="2">
      <alignment horizontal="left" vertical="center"/>
    </xf>
    <xf numFmtId="170" fontId="65" fillId="30" borderId="28" applyAlignment="1" pivotButton="0" quotePrefix="0" xfId="2">
      <alignment horizontal="left" vertical="center"/>
    </xf>
    <xf numFmtId="170" fontId="63" fillId="30" borderId="85" applyAlignment="1" pivotButton="0" quotePrefix="0" xfId="2">
      <alignment horizontal="left" vertical="center"/>
    </xf>
    <xf numFmtId="170" fontId="63" fillId="30" borderId="28" applyAlignment="1" pivotButton="0" quotePrefix="0" xfId="2">
      <alignment horizontal="left" vertical="center"/>
    </xf>
    <xf numFmtId="170" fontId="72" fillId="30" borderId="85" applyAlignment="1" pivotButton="0" quotePrefix="0" xfId="2">
      <alignment horizontal="left" vertical="center"/>
    </xf>
    <xf numFmtId="170" fontId="72" fillId="30" borderId="28" applyAlignment="1" pivotButton="0" quotePrefix="0" xfId="2">
      <alignment horizontal="left" vertical="center"/>
    </xf>
    <xf numFmtId="170" fontId="62" fillId="30" borderId="85" applyAlignment="1" pivotButton="0" quotePrefix="0" xfId="1">
      <alignment horizontal="left" vertical="center"/>
    </xf>
    <xf numFmtId="170" fontId="62" fillId="30" borderId="28" applyAlignment="1" pivotButton="0" quotePrefix="0" xfId="1">
      <alignment horizontal="left" vertical="center"/>
    </xf>
    <xf numFmtId="0" fontId="0" fillId="0" borderId="28" pivotButton="0" quotePrefix="0" xfId="0"/>
    <xf numFmtId="0" fontId="62" fillId="19" borderId="85" applyAlignment="1" pivotButton="0" quotePrefix="0" xfId="1">
      <alignment horizontal="left" vertical="center"/>
    </xf>
    <xf numFmtId="0" fontId="62" fillId="19" borderId="49" applyAlignment="1" pivotButton="0" quotePrefix="0" xfId="1">
      <alignment horizontal="left" vertical="center"/>
    </xf>
    <xf numFmtId="0" fontId="62" fillId="30" borderId="66" applyAlignment="1" pivotButton="0" quotePrefix="0" xfId="1">
      <alignment horizontal="center" vertical="center"/>
    </xf>
    <xf numFmtId="0" fontId="62" fillId="30" borderId="67" applyAlignment="1" pivotButton="0" quotePrefix="0" xfId="1">
      <alignment horizontal="center" vertical="center"/>
    </xf>
    <xf numFmtId="0" fontId="64" fillId="0" borderId="44" applyAlignment="1" pivotButton="0" quotePrefix="0" xfId="1">
      <alignment horizontal="left" vertical="center"/>
    </xf>
    <xf numFmtId="0" fontId="62" fillId="0" borderId="49" applyAlignment="1" pivotButton="0" quotePrefix="0" xfId="1">
      <alignment horizontal="left" vertical="center" indent="1"/>
    </xf>
    <xf numFmtId="0" fontId="65" fillId="0" borderId="49" applyAlignment="1" pivotButton="0" quotePrefix="0" xfId="1">
      <alignment horizontal="left" vertical="center" indent="2"/>
    </xf>
    <xf numFmtId="0" fontId="62" fillId="0" borderId="49" applyAlignment="1" pivotButton="0" quotePrefix="0" xfId="1">
      <alignment horizontal="left" vertical="center" indent="1"/>
    </xf>
    <xf numFmtId="0" fontId="65" fillId="30" borderId="49" applyAlignment="1" pivotButton="0" quotePrefix="0" xfId="1">
      <alignment horizontal="left" vertical="center" indent="2"/>
    </xf>
    <xf numFmtId="0" fontId="62" fillId="19" borderId="67" applyAlignment="1" pivotButton="0" quotePrefix="0" xfId="1">
      <alignment horizontal="left" vertical="center"/>
    </xf>
    <xf numFmtId="165" fontId="62" fillId="19" borderId="67" applyAlignment="1" pivotButton="0" quotePrefix="0" xfId="1">
      <alignment horizontal="left" vertical="center"/>
    </xf>
    <xf numFmtId="170" fontId="62" fillId="19" borderId="86" applyAlignment="1" pivotButton="0" quotePrefix="0" xfId="1">
      <alignment horizontal="left" vertical="center"/>
    </xf>
    <xf numFmtId="170" fontId="62" fillId="19" borderId="67" applyAlignment="1" pivotButton="0" quotePrefix="0" xfId="1">
      <alignment horizontal="left" vertical="center"/>
    </xf>
    <xf numFmtId="165" fontId="62" fillId="0" borderId="49" applyAlignment="1" pivotButton="0" quotePrefix="0" xfId="2">
      <alignment horizontal="left" vertical="center"/>
    </xf>
    <xf numFmtId="165" fontId="62" fillId="0" borderId="49" applyAlignment="1" pivotButton="0" quotePrefix="0" xfId="2">
      <alignment horizontal="left" vertical="center"/>
    </xf>
    <xf numFmtId="165" fontId="62" fillId="20" borderId="49" applyAlignment="1" pivotButton="0" quotePrefix="0" xfId="2">
      <alignment horizontal="left" vertical="center"/>
    </xf>
    <xf numFmtId="165" fontId="69" fillId="0" borderId="49" applyAlignment="1" pivotButton="0" quotePrefix="0" xfId="2">
      <alignment horizontal="left" vertical="center"/>
    </xf>
    <xf numFmtId="165" fontId="62" fillId="19" borderId="64" applyAlignment="1" pivotButton="0" quotePrefix="0" xfId="2">
      <alignment horizontal="left" vertical="center"/>
    </xf>
    <xf numFmtId="165" fontId="66" fillId="0" borderId="49" applyAlignment="1" pivotButton="0" quotePrefix="0" xfId="2">
      <alignment horizontal="left" vertical="center"/>
    </xf>
    <xf numFmtId="165" fontId="68" fillId="0" borderId="49" applyAlignment="1" pivotButton="0" quotePrefix="0" xfId="5">
      <alignment horizontal="left" vertical="center"/>
    </xf>
    <xf numFmtId="165" fontId="68" fillId="0" borderId="49" applyAlignment="1" pivotButton="0" quotePrefix="0" xfId="2">
      <alignment horizontal="left" vertical="center"/>
    </xf>
    <xf numFmtId="165" fontId="58" fillId="0" borderId="49" applyAlignment="1" pivotButton="0" quotePrefix="0" xfId="2">
      <alignment horizontal="left" vertical="center"/>
    </xf>
    <xf numFmtId="165" fontId="62" fillId="22" borderId="64" applyAlignment="1" pivotButton="0" quotePrefix="0" xfId="2">
      <alignment horizontal="left" vertical="center"/>
    </xf>
    <xf numFmtId="165" fontId="77" fillId="0" borderId="49" applyAlignment="1" pivotButton="0" quotePrefix="0" xfId="2">
      <alignment horizontal="left" vertical="center"/>
    </xf>
    <xf numFmtId="165" fontId="62" fillId="23" borderId="66" applyAlignment="1" pivotButton="0" quotePrefix="0" xfId="1">
      <alignment horizontal="left" vertical="center"/>
    </xf>
    <xf numFmtId="165" fontId="70" fillId="30" borderId="49" applyAlignment="1" pivotButton="0" quotePrefix="0" xfId="2">
      <alignment horizontal="left" vertical="center"/>
    </xf>
    <xf numFmtId="165" fontId="72" fillId="30" borderId="49" applyAlignment="1" pivotButton="0" quotePrefix="0" xfId="2">
      <alignment horizontal="left" vertical="center"/>
    </xf>
    <xf numFmtId="165" fontId="62" fillId="30" borderId="49" applyAlignment="1" pivotButton="0" quotePrefix="0" xfId="1">
      <alignment horizontal="left" vertical="center"/>
    </xf>
    <xf numFmtId="165" fontId="65" fillId="0" borderId="49" applyAlignment="1" pivotButton="0" quotePrefix="0" xfId="1">
      <alignment horizontal="left" vertical="center"/>
    </xf>
    <xf numFmtId="0" fontId="0" fillId="0" borderId="85" pivotButton="0" quotePrefix="0" xfId="0"/>
    <xf numFmtId="170" fontId="65" fillId="30" borderId="49" applyAlignment="1" pivotButton="0" quotePrefix="0" xfId="2">
      <alignment horizontal="left" vertical="center"/>
    </xf>
    <xf numFmtId="165" fontId="76" fillId="0" borderId="28" applyAlignment="1" pivotButton="0" quotePrefix="0" xfId="1">
      <alignment horizontal="left" vertical="center"/>
    </xf>
    <xf numFmtId="165" fontId="76" fillId="0" borderId="85" applyAlignment="1" pivotButton="0" quotePrefix="0" xfId="1">
      <alignment horizontal="left" vertical="center"/>
    </xf>
    <xf numFmtId="170" fontId="76" fillId="0" borderId="28" applyAlignment="1" pivotButton="0" quotePrefix="0" xfId="1">
      <alignment horizontal="left" vertical="center"/>
    </xf>
    <xf numFmtId="170" fontId="76" fillId="0" borderId="85" applyAlignment="1" pivotButton="0" quotePrefix="0" xfId="1">
      <alignment horizontal="left" vertical="center"/>
    </xf>
    <xf numFmtId="0" fontId="62" fillId="0" borderId="84" applyAlignment="1" pivotButton="0" quotePrefix="0" xfId="1">
      <alignment horizontal="center" vertical="center"/>
    </xf>
    <xf numFmtId="0" fontId="62" fillId="0" borderId="67" applyAlignment="1" pivotButton="0" quotePrefix="0" xfId="1">
      <alignment horizontal="center" vertical="center"/>
    </xf>
    <xf numFmtId="170" fontId="62" fillId="0" borderId="28" applyAlignment="1" pivotButton="0" quotePrefix="0" xfId="1">
      <alignment horizontal="left" vertical="center"/>
    </xf>
    <xf numFmtId="0" fontId="69" fillId="0" borderId="50" applyAlignment="1" pivotButton="0" quotePrefix="0" xfId="1">
      <alignment horizontal="left" vertical="center"/>
    </xf>
    <xf numFmtId="167" fontId="66" fillId="0" borderId="52" applyAlignment="1" pivotButton="0" quotePrefix="0" xfId="3">
      <alignment horizontal="left" vertical="center"/>
    </xf>
    <xf numFmtId="37" fontId="66" fillId="0" borderId="50" applyAlignment="1" pivotButton="0" quotePrefix="0" xfId="3">
      <alignment horizontal="right" vertical="center"/>
    </xf>
    <xf numFmtId="37" fontId="66" fillId="0" borderId="54" applyAlignment="1" pivotButton="0" quotePrefix="0" xfId="3">
      <alignment horizontal="right" vertical="center"/>
    </xf>
    <xf numFmtId="170" fontId="62" fillId="27" borderId="85" applyAlignment="1" pivotButton="0" quotePrefix="0" xfId="1">
      <alignment horizontal="right" vertical="center"/>
    </xf>
    <xf numFmtId="170" fontId="62" fillId="27" borderId="28" applyAlignment="1" pivotButton="0" quotePrefix="0" xfId="1">
      <alignment horizontal="right" vertical="center"/>
    </xf>
    <xf numFmtId="0" fontId="65" fillId="0" borderId="43" applyAlignment="1" pivotButton="0" quotePrefix="0" xfId="1">
      <alignment horizontal="left" vertical="center" indent="1"/>
    </xf>
    <xf numFmtId="0" fontId="63" fillId="0" borderId="49" applyAlignment="1" pivotButton="0" quotePrefix="0" xfId="1">
      <alignment horizontal="left" vertical="center" indent="2"/>
    </xf>
    <xf numFmtId="0" fontId="62" fillId="0" borderId="52" applyAlignment="1" pivotButton="0" quotePrefix="0" xfId="1">
      <alignment horizontal="left" vertical="center" indent="1"/>
    </xf>
    <xf numFmtId="0" fontId="65" fillId="0" borderId="49" applyAlignment="1" pivotButton="0" quotePrefix="1" xfId="1">
      <alignment horizontal="left" vertical="center" indent="3"/>
    </xf>
    <xf numFmtId="0" fontId="70" fillId="0" borderId="49" applyAlignment="1" pivotButton="0" quotePrefix="1" xfId="1">
      <alignment horizontal="left" vertical="center" indent="3"/>
    </xf>
    <xf numFmtId="0" fontId="62" fillId="0" borderId="49" applyAlignment="1" pivotButton="0" quotePrefix="0" xfId="1">
      <alignment horizontal="left" vertical="center" indent="2"/>
    </xf>
    <xf numFmtId="0" fontId="63" fillId="0" borderId="49" applyAlignment="1" pivotButton="0" quotePrefix="0" xfId="1">
      <alignment horizontal="left" vertical="center" indent="3"/>
    </xf>
    <xf numFmtId="0" fontId="65" fillId="0" borderId="49" applyAlignment="1" pivotButton="0" quotePrefix="0" xfId="1">
      <alignment horizontal="left" vertical="center" indent="3"/>
    </xf>
    <xf numFmtId="0" fontId="62" fillId="0" borderId="49" applyAlignment="1" pivotButton="0" quotePrefix="0" xfId="1">
      <alignment horizontal="left" vertical="center" indent="2"/>
    </xf>
    <xf numFmtId="0" fontId="62" fillId="27" borderId="49" applyAlignment="1" pivotButton="0" quotePrefix="0" xfId="1">
      <alignment horizontal="left" vertical="center" indent="1"/>
    </xf>
    <xf numFmtId="0" fontId="70" fillId="0" borderId="49" applyAlignment="1" pivotButton="0" quotePrefix="0" xfId="1">
      <alignment horizontal="left" vertical="center" indent="1"/>
    </xf>
    <xf numFmtId="0" fontId="78" fillId="0" borderId="49" applyAlignment="1" pivotButton="0" quotePrefix="0" xfId="1">
      <alignment horizontal="left" vertical="center" indent="2"/>
    </xf>
    <xf numFmtId="0" fontId="77" fillId="0" borderId="49" applyAlignment="1" pivotButton="0" quotePrefix="0" xfId="1">
      <alignment horizontal="left" vertical="center" indent="2"/>
    </xf>
    <xf numFmtId="0" fontId="69" fillId="0" borderId="49" applyAlignment="1" pivotButton="0" quotePrefix="0" xfId="1">
      <alignment horizontal="left" vertical="center" indent="1"/>
    </xf>
    <xf numFmtId="0" fontId="62" fillId="19" borderId="64" applyAlignment="1" pivotButton="0" quotePrefix="0" xfId="1">
      <alignment horizontal="left" vertical="center" indent="1"/>
    </xf>
    <xf numFmtId="0" fontId="77" fillId="0" borderId="49" applyAlignment="1" pivotButton="0" quotePrefix="0" xfId="1">
      <alignment horizontal="left" vertical="center" indent="1"/>
    </xf>
    <xf numFmtId="0" fontId="63" fillId="0" borderId="49" applyAlignment="1" pivotButton="0" quotePrefix="0" xfId="1">
      <alignment horizontal="left" vertical="center" indent="1"/>
    </xf>
    <xf numFmtId="0" fontId="62" fillId="22" borderId="58" applyAlignment="1" pivotButton="0" quotePrefix="0" xfId="1">
      <alignment horizontal="left" vertical="center" indent="1"/>
    </xf>
    <xf numFmtId="0" fontId="62" fillId="23" borderId="66" applyAlignment="1" pivotButton="0" quotePrefix="0" xfId="1">
      <alignment horizontal="left" vertical="center" indent="1"/>
    </xf>
    <xf numFmtId="0" fontId="62" fillId="30" borderId="49" applyAlignment="1" pivotButton="0" quotePrefix="0" xfId="1">
      <alignment horizontal="left" vertical="center" indent="1"/>
    </xf>
    <xf numFmtId="0" fontId="70" fillId="30" borderId="49" applyAlignment="1" pivotButton="0" quotePrefix="0" xfId="1">
      <alignment horizontal="left" vertical="center" indent="2"/>
    </xf>
    <xf numFmtId="0" fontId="65" fillId="30" borderId="49" applyAlignment="1" pivotButton="0" quotePrefix="0" xfId="1">
      <alignment horizontal="left" vertical="center" indent="3"/>
    </xf>
    <xf numFmtId="0" fontId="62" fillId="19" borderId="66" applyAlignment="1" pivotButton="0" quotePrefix="0" xfId="1">
      <alignment horizontal="left" vertical="center" indent="1"/>
    </xf>
    <xf numFmtId="0" fontId="79" fillId="0" borderId="28" applyAlignment="1" pivotButton="0" quotePrefix="0" xfId="6">
      <alignment horizontal="left" vertical="center" wrapText="1"/>
    </xf>
    <xf numFmtId="0" fontId="65" fillId="21" borderId="28" applyAlignment="1" pivotButton="0" quotePrefix="1" xfId="1">
      <alignment vertical="top" wrapText="1"/>
    </xf>
    <xf numFmtId="0" fontId="58" fillId="0" borderId="0" applyAlignment="1" pivotButton="0" quotePrefix="0" xfId="0">
      <alignment horizontal="left" vertical="top" wrapText="1"/>
    </xf>
    <xf numFmtId="0" fontId="74" fillId="18" borderId="46" applyAlignment="1" pivotButton="0" quotePrefix="0" xfId="1">
      <alignment horizontal="left" vertical="center"/>
    </xf>
    <xf numFmtId="0" fontId="74" fillId="18" borderId="47" applyAlignment="1" pivotButton="0" quotePrefix="0" xfId="1">
      <alignment horizontal="left" vertical="center"/>
    </xf>
    <xf numFmtId="0" fontId="74" fillId="18" borderId="45" applyAlignment="1" pivotButton="0" quotePrefix="0" xfId="1">
      <alignment horizontal="left" vertical="center"/>
    </xf>
    <xf numFmtId="0" fontId="59" fillId="0" borderId="28" applyAlignment="1" pivotButton="0" quotePrefix="0" xfId="1">
      <alignment horizontal="left" vertical="center" wrapText="1"/>
    </xf>
    <xf numFmtId="0" fontId="63" fillId="0" borderId="28" applyAlignment="1" pivotButton="0" quotePrefix="0" xfId="1">
      <alignment horizontal="left" vertical="center" wrapText="1"/>
    </xf>
    <xf numFmtId="0" fontId="74" fillId="29" borderId="45" applyAlignment="1" pivotButton="0" quotePrefix="0" xfId="1">
      <alignment horizontal="center" vertical="center"/>
    </xf>
    <xf numFmtId="0" fontId="74" fillId="29" borderId="46" applyAlignment="1" pivotButton="0" quotePrefix="0" xfId="1">
      <alignment horizontal="center" vertical="center"/>
    </xf>
    <xf numFmtId="0" fontId="74" fillId="29" borderId="47" applyAlignment="1" pivotButton="0" quotePrefix="0" xfId="1">
      <alignment horizontal="center" vertical="center"/>
    </xf>
    <xf numFmtId="0" fontId="50" fillId="0" borderId="0" applyAlignment="1" pivotButton="0" quotePrefix="0" xfId="0">
      <alignment horizontal="left" vertical="top" wrapText="1"/>
    </xf>
    <xf numFmtId="0" fontId="61" fillId="21" borderId="28" applyAlignment="1" pivotButton="0" quotePrefix="1" xfId="1">
      <alignment vertical="top" wrapText="1"/>
    </xf>
    <xf numFmtId="0" fontId="30" fillId="18" borderId="45" applyAlignment="1" pivotButton="0" quotePrefix="0" xfId="1">
      <alignment horizontal="center" vertical="top"/>
    </xf>
    <xf numFmtId="0" fontId="30" fillId="18" borderId="46" applyAlignment="1" pivotButton="0" quotePrefix="0" xfId="1">
      <alignment horizontal="center" vertical="top"/>
    </xf>
    <xf numFmtId="0" fontId="30" fillId="18" borderId="47" applyAlignment="1" pivotButton="0" quotePrefix="0" xfId="1">
      <alignment horizontal="center" vertical="top"/>
    </xf>
    <xf numFmtId="0" fontId="24" fillId="0" borderId="28" applyAlignment="1" pivotButton="0" quotePrefix="0" xfId="1">
      <alignment horizontal="left" vertical="top" wrapText="1"/>
    </xf>
    <xf numFmtId="0" fontId="32" fillId="0" borderId="28" applyAlignment="1" pivotButton="0" quotePrefix="0" xfId="1">
      <alignment horizontal="left" vertical="top" wrapText="1"/>
    </xf>
    <xf numFmtId="0" fontId="46" fillId="0" borderId="28" applyAlignment="1" pivotButton="0" quotePrefix="0" xfId="6">
      <alignment horizontal="left" vertical="top" wrapText="1"/>
    </xf>
    <xf numFmtId="0" fontId="55" fillId="25" borderId="28" applyAlignment="1" pivotButton="0" quotePrefix="0" xfId="9">
      <alignment horizontal="center" vertical="center" wrapText="1"/>
    </xf>
    <xf numFmtId="0" fontId="53" fillId="0" borderId="28" pivotButton="0" quotePrefix="0" xfId="9"/>
    <xf numFmtId="0" fontId="50" fillId="0" borderId="0" applyAlignment="1" pivotButton="0" quotePrefix="0" xfId="0">
      <alignment horizontal="left" wrapText="1"/>
    </xf>
    <xf numFmtId="0" fontId="0" fillId="0" borderId="0" applyAlignment="1" pivotButton="0" quotePrefix="0" xfId="0">
      <alignment horizontal="left" wrapText="1"/>
    </xf>
    <xf numFmtId="0" fontId="14" fillId="3" borderId="1" applyAlignment="1" pivotButton="0" quotePrefix="0" xfId="0">
      <alignment horizontal="center"/>
    </xf>
    <xf numFmtId="0" fontId="8" fillId="0" borderId="3" pivotButton="0" quotePrefix="0" xfId="0"/>
    <xf numFmtId="0" fontId="8" fillId="0" borderId="2" pivotButton="0" quotePrefix="0" xfId="0"/>
    <xf numFmtId="0" fontId="12" fillId="3" borderId="1" applyAlignment="1" pivotButton="0" quotePrefix="0" xfId="0">
      <alignment horizontal="center"/>
    </xf>
    <xf numFmtId="0" fontId="15" fillId="4" borderId="26" applyAlignment="1" pivotButton="0" quotePrefix="0" xfId="0">
      <alignment horizontal="center" vertical="center" wrapText="1"/>
    </xf>
    <xf numFmtId="0" fontId="8" fillId="0" borderId="27" pivotButton="0" quotePrefix="0" xfId="0"/>
    <xf numFmtId="0" fontId="8" fillId="0" borderId="28" pivotButton="0" quotePrefix="0" xfId="0"/>
    <xf numFmtId="0" fontId="0" fillId="5" borderId="18" applyAlignment="1" pivotButton="0" quotePrefix="0" xfId="0">
      <alignment horizontal="center"/>
    </xf>
    <xf numFmtId="0" fontId="8" fillId="0" borderId="22" pivotButton="0" quotePrefix="0" xfId="0"/>
    <xf numFmtId="0" fontId="8" fillId="0" borderId="21" pivotButton="0" quotePrefix="0" xfId="0"/>
    <xf numFmtId="0" fontId="0" fillId="5" borderId="18" applyAlignment="1" pivotButton="0" quotePrefix="0" xfId="0">
      <alignment horizontal="center" wrapText="1"/>
    </xf>
    <xf numFmtId="0" fontId="0" fillId="5" borderId="18" applyAlignment="1" pivotButton="0" quotePrefix="0" xfId="0">
      <alignment horizontal="left" wrapText="1"/>
    </xf>
    <xf numFmtId="0" fontId="0" fillId="5" borderId="18" applyAlignment="1" pivotButton="0" quotePrefix="0" xfId="0">
      <alignment horizontal="left"/>
    </xf>
    <xf numFmtId="0" fontId="50" fillId="5" borderId="18" applyAlignment="1" pivotButton="0" quotePrefix="0" xfId="0">
      <alignment horizontal="center"/>
    </xf>
    <xf numFmtId="0" fontId="10" fillId="0" borderId="0" applyAlignment="1" pivotButton="0" quotePrefix="0" xfId="0">
      <alignment horizontal="center"/>
    </xf>
    <xf numFmtId="0" fontId="0" fillId="0" borderId="0" pivotButton="0" quotePrefix="0" xfId="0"/>
    <xf numFmtId="0" fontId="22" fillId="15" borderId="1" applyAlignment="1" pivotButton="0" quotePrefix="0" xfId="0">
      <alignment horizontal="center"/>
    </xf>
    <xf numFmtId="0" fontId="22" fillId="16" borderId="1" applyAlignment="1" pivotButton="0" quotePrefix="0" xfId="0">
      <alignment horizontal="center"/>
    </xf>
    <xf numFmtId="0" fontId="22" fillId="13" borderId="3" applyAlignment="1" pivotButton="0" quotePrefix="0" xfId="0">
      <alignment horizontal="center"/>
    </xf>
    <xf numFmtId="0" fontId="82" fillId="31" borderId="0" applyAlignment="1" pivotButton="0" quotePrefix="0" xfId="0">
      <alignment horizontal="center" vertical="center"/>
    </xf>
    <xf numFmtId="0" fontId="83" fillId="32" borderId="0" applyAlignment="1" pivotButton="0" quotePrefix="0" xfId="0">
      <alignment horizontal="center" vertical="center"/>
    </xf>
    <xf numFmtId="0" fontId="85" fillId="31" borderId="93" applyAlignment="1" pivotButton="0" quotePrefix="0" xfId="0">
      <alignment horizontal="center" vertical="center"/>
    </xf>
    <xf numFmtId="0" fontId="84" fillId="34" borderId="93" applyAlignment="1" pivotButton="0" quotePrefix="0" xfId="0">
      <alignment horizontal="center" vertical="center"/>
    </xf>
    <xf numFmtId="0" fontId="0" fillId="0" borderId="90" pivotButton="0" quotePrefix="0" xfId="0"/>
    <xf numFmtId="0" fontId="89" fillId="35" borderId="0" applyAlignment="1" pivotButton="0" quotePrefix="0" xfId="0">
      <alignment horizontal="left" vertical="top" wrapText="1"/>
    </xf>
    <xf numFmtId="0" fontId="84" fillId="0" borderId="0" applyAlignment="1" pivotButton="0" quotePrefix="0" xfId="0">
      <alignment horizontal="left" vertical="center"/>
    </xf>
    <xf numFmtId="171" fontId="86" fillId="32" borderId="90" applyAlignment="1" pivotButton="0" quotePrefix="0" xfId="0">
      <alignment horizontal="right" vertical="center"/>
    </xf>
    <xf numFmtId="0" fontId="84" fillId="34" borderId="91" applyAlignment="1" pivotButton="0" quotePrefix="0" xfId="0">
      <alignment vertical="center"/>
    </xf>
    <xf numFmtId="0" fontId="0" fillId="0" borderId="91" pivotButton="0" quotePrefix="0" xfId="0"/>
    <xf numFmtId="171" fontId="88" fillId="34" borderId="91" applyAlignment="1" pivotButton="0" quotePrefix="0" xfId="0">
      <alignment horizontal="right" vertical="center"/>
    </xf>
    <xf numFmtId="172" fontId="86" fillId="32" borderId="90" applyAlignment="1" pivotButton="0" quotePrefix="0" xfId="0">
      <alignment horizontal="right" vertical="center"/>
    </xf>
    <xf numFmtId="173" fontId="86" fillId="32" borderId="90" applyAlignment="1" pivotButton="0" quotePrefix="0" xfId="0">
      <alignment horizontal="right" vertical="center"/>
    </xf>
    <xf numFmtId="0" fontId="84" fillId="34" borderId="92" applyAlignment="1" pivotButton="0" quotePrefix="0" xfId="0">
      <alignment vertical="center"/>
    </xf>
    <xf numFmtId="0" fontId="0" fillId="0" borderId="92" pivotButton="0" quotePrefix="0" xfId="0"/>
    <xf numFmtId="171" fontId="88" fillId="34" borderId="92" applyAlignment="1" pivotButton="0" quotePrefix="0" xfId="0">
      <alignment horizontal="right" vertical="center"/>
    </xf>
    <xf numFmtId="0" fontId="84" fillId="33" borderId="93" applyAlignment="1" pivotButton="0" quotePrefix="0" xfId="0">
      <alignment horizontal="center" vertical="center"/>
    </xf>
    <xf numFmtId="172" fontId="87" fillId="33" borderId="0" applyAlignment="1" pivotButton="0" quotePrefix="0" xfId="0">
      <alignment horizontal="right" vertical="center"/>
    </xf>
    <xf numFmtId="17" fontId="88" fillId="32" borderId="90" applyAlignment="1" pivotButton="0" quotePrefix="0" xfId="0">
      <alignment horizontal="center" vertical="center"/>
    </xf>
    <xf numFmtId="0" fontId="84" fillId="32" borderId="90" applyAlignment="1" pivotButton="0" quotePrefix="0" xfId="0">
      <alignment horizontal="center" vertical="center"/>
    </xf>
    <xf numFmtId="0" fontId="84" fillId="0" borderId="91" applyAlignment="1" pivotButton="0" quotePrefix="0" xfId="0">
      <alignment horizontal="left" vertical="center"/>
    </xf>
    <xf numFmtId="171" fontId="88" fillId="36" borderId="91" applyAlignment="1" pivotButton="0" quotePrefix="0" xfId="0">
      <alignment horizontal="right" vertical="center"/>
    </xf>
    <xf numFmtId="172" fontId="88" fillId="36" borderId="91" applyAlignment="1" pivotButton="0" quotePrefix="0" xfId="0">
      <alignment horizontal="right" vertical="center"/>
    </xf>
    <xf numFmtId="173" fontId="88" fillId="36" borderId="91" applyAlignment="1" pivotButton="0" quotePrefix="0" xfId="0">
      <alignment horizontal="right" vertical="center"/>
    </xf>
    <xf numFmtId="0" fontId="84" fillId="0" borderId="92" applyAlignment="1" pivotButton="0" quotePrefix="0" xfId="0">
      <alignment horizontal="left" vertical="center"/>
    </xf>
    <xf numFmtId="171" fontId="88" fillId="36" borderId="92" applyAlignment="1" pivotButton="0" quotePrefix="0" xfId="0">
      <alignment horizontal="right" vertical="center"/>
    </xf>
    <xf numFmtId="0" fontId="58" fillId="0" borderId="28" applyAlignment="1" pivotButton="0" quotePrefix="0" xfId="0">
      <alignment horizontal="left" vertical="top" wrapText="1"/>
    </xf>
    <xf numFmtId="0" fontId="74" fillId="29" borderId="84" applyAlignment="1" pivotButton="0" quotePrefix="0" xfId="1">
      <alignment horizontal="center" vertical="center"/>
    </xf>
    <xf numFmtId="0" fontId="0" fillId="0" borderId="46" pivotButton="0" quotePrefix="0" xfId="0"/>
    <xf numFmtId="0" fontId="0" fillId="0" borderId="47" pivotButton="0" quotePrefix="0" xfId="0"/>
    <xf numFmtId="0" fontId="74" fillId="18" borderId="84" applyAlignment="1" pivotButton="0" quotePrefix="0" xfId="1">
      <alignment horizontal="left" vertical="center"/>
    </xf>
    <xf numFmtId="165" fontId="62" fillId="0" borderId="28" applyAlignment="1" pivotButton="0" quotePrefix="0" xfId="2">
      <alignment horizontal="left" vertical="center"/>
    </xf>
    <xf numFmtId="167" fontId="66" fillId="0" borderId="49" applyAlignment="1" pivotButton="0" quotePrefix="0" xfId="3">
      <alignment horizontal="left" vertical="center"/>
    </xf>
    <xf numFmtId="167" fontId="66" fillId="0" borderId="28" applyAlignment="1" pivotButton="0" quotePrefix="0" xfId="3">
      <alignment horizontal="left" vertical="center"/>
    </xf>
    <xf numFmtId="167" fontId="66" fillId="0" borderId="56" applyAlignment="1" pivotButton="0" quotePrefix="0" xfId="3">
      <alignment horizontal="left" vertical="center"/>
    </xf>
    <xf numFmtId="167" fontId="66" fillId="0" borderId="53" applyAlignment="1" pivotButton="0" quotePrefix="0" xfId="3">
      <alignment horizontal="left" vertical="center"/>
    </xf>
    <xf numFmtId="167" fontId="66" fillId="0" borderId="52" applyAlignment="1" pivotButton="0" quotePrefix="0" xfId="3">
      <alignment horizontal="left" vertical="center"/>
    </xf>
    <xf numFmtId="167" fontId="66" fillId="19" borderId="61" applyAlignment="1" pivotButton="0" quotePrefix="0" xfId="3">
      <alignment horizontal="left" vertical="center"/>
    </xf>
    <xf numFmtId="167" fontId="66" fillId="19" borderId="65" applyAlignment="1" pivotButton="0" quotePrefix="0" xfId="3">
      <alignment horizontal="left" vertical="center"/>
    </xf>
    <xf numFmtId="167" fontId="66" fillId="0" borderId="85" applyAlignment="1" pivotButton="0" quotePrefix="0" xfId="3">
      <alignment horizontal="left" vertical="center"/>
    </xf>
    <xf numFmtId="165" fontId="65" fillId="0" borderId="49" applyAlignment="1" pivotButton="0" quotePrefix="0" xfId="1">
      <alignment horizontal="left" vertical="center"/>
    </xf>
    <xf numFmtId="165" fontId="65" fillId="0" borderId="28" applyAlignment="1" pivotButton="0" quotePrefix="0" xfId="1">
      <alignment horizontal="left" vertical="center"/>
    </xf>
    <xf numFmtId="165" fontId="62" fillId="0" borderId="49" applyAlignment="1" pivotButton="0" quotePrefix="0" xfId="1">
      <alignment horizontal="left" vertical="center"/>
    </xf>
    <xf numFmtId="165" fontId="62" fillId="0" borderId="28" applyAlignment="1" pivotButton="0" quotePrefix="0" xfId="1">
      <alignment horizontal="left" vertical="center"/>
    </xf>
    <xf numFmtId="165" fontId="59" fillId="0" borderId="28" applyAlignment="1" pivotButton="0" quotePrefix="0" xfId="2">
      <alignment horizontal="left" vertical="center"/>
    </xf>
    <xf numFmtId="165" fontId="68" fillId="0" borderId="28" applyAlignment="1" pivotButton="0" quotePrefix="0" xfId="2">
      <alignment horizontal="left" vertical="center"/>
    </xf>
    <xf numFmtId="165" fontId="63" fillId="0" borderId="49" applyAlignment="1" pivotButton="0" quotePrefix="0" xfId="2">
      <alignment horizontal="left" vertical="center"/>
    </xf>
    <xf numFmtId="165" fontId="63" fillId="0" borderId="28" applyAlignment="1" pivotButton="0" quotePrefix="0" xfId="2">
      <alignment horizontal="left" vertical="center"/>
    </xf>
    <xf numFmtId="165" fontId="65" fillId="0" borderId="49" applyAlignment="1" pivotButton="0" quotePrefix="0" xfId="2">
      <alignment horizontal="left" vertical="center"/>
    </xf>
    <xf numFmtId="165" fontId="65" fillId="0" borderId="28" applyAlignment="1" pivotButton="0" quotePrefix="0" xfId="2">
      <alignment horizontal="left" vertical="center"/>
    </xf>
    <xf numFmtId="165" fontId="65" fillId="21" borderId="28" applyAlignment="1" pivotButton="0" quotePrefix="0" xfId="2">
      <alignment horizontal="left" vertical="center"/>
    </xf>
    <xf numFmtId="165" fontId="76" fillId="0" borderId="28" applyAlignment="1" pivotButton="0" quotePrefix="0" xfId="1">
      <alignment horizontal="left" vertical="center"/>
    </xf>
    <xf numFmtId="165" fontId="76" fillId="0" borderId="85" applyAlignment="1" pivotButton="0" quotePrefix="0" xfId="1">
      <alignment horizontal="left" vertical="center"/>
    </xf>
    <xf numFmtId="165" fontId="65" fillId="27" borderId="49" applyAlignment="1" pivotButton="0" quotePrefix="0" xfId="1">
      <alignment horizontal="left" vertical="center"/>
    </xf>
    <xf numFmtId="165" fontId="62" fillId="24" borderId="28" applyAlignment="1" pivotButton="0" quotePrefix="0" xfId="1">
      <alignment horizontal="left" vertical="center"/>
    </xf>
    <xf numFmtId="165" fontId="65" fillId="20" borderId="49" applyAlignment="1" pivotButton="0" quotePrefix="0" xfId="2">
      <alignment horizontal="left" vertical="center"/>
    </xf>
    <xf numFmtId="165" fontId="63" fillId="20" borderId="28" applyAlignment="1" pivotButton="0" quotePrefix="0" xfId="2">
      <alignment horizontal="left" vertical="center"/>
    </xf>
    <xf numFmtId="165" fontId="62" fillId="20" borderId="85" applyAlignment="1" pivotButton="0" quotePrefix="0" xfId="2">
      <alignment horizontal="left" vertical="center"/>
    </xf>
    <xf numFmtId="165" fontId="62" fillId="20" borderId="28" applyAlignment="1" pivotButton="0" quotePrefix="0" xfId="2">
      <alignment horizontal="left" vertical="center"/>
    </xf>
    <xf numFmtId="165" fontId="65" fillId="20" borderId="28" applyAlignment="1" pivotButton="0" quotePrefix="0" xfId="2">
      <alignment horizontal="left" vertical="center"/>
    </xf>
    <xf numFmtId="165" fontId="62" fillId="20" borderId="63" applyAlignment="1" pivotButton="0" quotePrefix="0" xfId="2">
      <alignment horizontal="left" vertical="center"/>
    </xf>
    <xf numFmtId="165" fontId="62" fillId="20" borderId="53" applyAlignment="1" pivotButton="0" quotePrefix="0" xfId="2">
      <alignment horizontal="left" vertical="center"/>
    </xf>
    <xf numFmtId="165" fontId="62" fillId="0" borderId="49" applyAlignment="1" pivotButton="0" quotePrefix="0" xfId="2">
      <alignment horizontal="left" vertical="center"/>
    </xf>
    <xf numFmtId="165" fontId="62" fillId="0" borderId="85" applyAlignment="1" pivotButton="0" quotePrefix="0" xfId="2">
      <alignment horizontal="left" vertical="center"/>
    </xf>
    <xf numFmtId="165" fontId="62" fillId="0" borderId="63" applyAlignment="1" pivotButton="0" quotePrefix="0" xfId="2">
      <alignment horizontal="left" vertical="center"/>
    </xf>
    <xf numFmtId="165" fontId="62" fillId="0" borderId="53" applyAlignment="1" pivotButton="0" quotePrefix="0" xfId="2">
      <alignment horizontal="left" vertical="center"/>
    </xf>
    <xf numFmtId="165" fontId="65" fillId="0" borderId="28" applyAlignment="1" pivotButton="0" quotePrefix="1" xfId="2">
      <alignment horizontal="left" vertical="center"/>
    </xf>
    <xf numFmtId="165" fontId="65" fillId="0" borderId="62" applyAlignment="1" pivotButton="0" quotePrefix="0" xfId="2">
      <alignment horizontal="left" vertical="center"/>
    </xf>
    <xf numFmtId="165" fontId="64" fillId="0" borderId="28" applyAlignment="1" pivotButton="0" quotePrefix="0" xfId="2">
      <alignment horizontal="left" vertical="center"/>
    </xf>
    <xf numFmtId="165" fontId="64" fillId="0" borderId="85" applyAlignment="1" pivotButton="0" quotePrefix="0" xfId="2">
      <alignment horizontal="left" vertical="center"/>
    </xf>
    <xf numFmtId="165" fontId="65" fillId="21" borderId="56" applyAlignment="1" pivotButton="0" quotePrefix="0" xfId="2">
      <alignment horizontal="left" vertical="center"/>
    </xf>
    <xf numFmtId="165" fontId="65" fillId="20" borderId="56" applyAlignment="1" pivotButton="0" quotePrefix="0" xfId="2">
      <alignment horizontal="left" vertical="center"/>
    </xf>
    <xf numFmtId="165" fontId="62" fillId="20" borderId="49" applyAlignment="1" pivotButton="0" quotePrefix="0" xfId="2">
      <alignment horizontal="left" vertical="center"/>
    </xf>
    <xf numFmtId="165" fontId="65" fillId="0" borderId="56" applyAlignment="1" pivotButton="0" quotePrefix="0" xfId="2">
      <alignment horizontal="left" vertical="center"/>
    </xf>
    <xf numFmtId="165" fontId="77" fillId="0" borderId="28" applyAlignment="1" pivotButton="0" quotePrefix="0" xfId="2">
      <alignment horizontal="left" vertical="center"/>
    </xf>
    <xf numFmtId="165" fontId="69" fillId="0" borderId="49" applyAlignment="1" pivotButton="0" quotePrefix="0" xfId="2">
      <alignment horizontal="left" vertical="center"/>
    </xf>
    <xf numFmtId="165" fontId="69" fillId="0" borderId="28" applyAlignment="1" pivotButton="0" quotePrefix="0" xfId="2">
      <alignment horizontal="left" vertical="center"/>
    </xf>
    <xf numFmtId="165" fontId="69" fillId="0" borderId="85" applyAlignment="1" pivotButton="0" quotePrefix="0" xfId="2">
      <alignment horizontal="left" vertical="center"/>
    </xf>
    <xf numFmtId="165" fontId="69" fillId="0" borderId="63" applyAlignment="1" pivotButton="0" quotePrefix="0" xfId="2">
      <alignment horizontal="left" vertical="center"/>
    </xf>
    <xf numFmtId="165" fontId="69" fillId="0" borderId="53" applyAlignment="1" pivotButton="0" quotePrefix="0" xfId="2">
      <alignment horizontal="left" vertical="center"/>
    </xf>
    <xf numFmtId="165" fontId="62" fillId="19" borderId="64" applyAlignment="1" pivotButton="0" quotePrefix="0" xfId="2">
      <alignment horizontal="left" vertical="center"/>
    </xf>
    <xf numFmtId="165" fontId="62" fillId="19" borderId="61" applyAlignment="1" pivotButton="0" quotePrefix="0" xfId="2">
      <alignment horizontal="left" vertical="center"/>
    </xf>
    <xf numFmtId="165" fontId="62" fillId="19" borderId="87" applyAlignment="1" pivotButton="0" quotePrefix="0" xfId="2">
      <alignment horizontal="left" vertical="center"/>
    </xf>
    <xf numFmtId="165" fontId="77" fillId="0" borderId="85" applyAlignment="1" pivotButton="0" quotePrefix="0" xfId="2">
      <alignment horizontal="left" vertical="center"/>
    </xf>
    <xf numFmtId="165" fontId="66" fillId="0" borderId="53" applyAlignment="1" pivotButton="0" quotePrefix="0" xfId="2">
      <alignment horizontal="left" vertical="center"/>
    </xf>
    <xf numFmtId="165" fontId="66" fillId="0" borderId="28" applyAlignment="1" pivotButton="0" quotePrefix="0" xfId="2">
      <alignment horizontal="left" vertical="center"/>
    </xf>
    <xf numFmtId="165" fontId="66" fillId="0" borderId="49" applyAlignment="1" pivotButton="0" quotePrefix="0" xfId="2">
      <alignment horizontal="left" vertical="center"/>
    </xf>
    <xf numFmtId="168" fontId="59" fillId="0" borderId="28" applyAlignment="1" pivotButton="0" quotePrefix="0" xfId="1">
      <alignment horizontal="left" vertical="center"/>
    </xf>
    <xf numFmtId="165" fontId="68" fillId="0" borderId="49" applyAlignment="1" pivotButton="0" quotePrefix="0" xfId="5">
      <alignment horizontal="left" vertical="center"/>
    </xf>
    <xf numFmtId="168" fontId="63" fillId="0" borderId="28" applyAlignment="1" pivotButton="0" quotePrefix="0" xfId="2">
      <alignment horizontal="left" vertical="center"/>
    </xf>
    <xf numFmtId="165" fontId="68" fillId="0" borderId="49" applyAlignment="1" pivotButton="0" quotePrefix="0" xfId="2">
      <alignment horizontal="left" vertical="center"/>
    </xf>
    <xf numFmtId="168" fontId="59" fillId="0" borderId="28" applyAlignment="1" pivotButton="0" quotePrefix="0" xfId="1">
      <alignment horizontal="left" vertical="center" wrapText="1"/>
    </xf>
    <xf numFmtId="165" fontId="66" fillId="0" borderId="85" applyAlignment="1" pivotButton="0" quotePrefix="0" xfId="2">
      <alignment horizontal="left" vertical="center"/>
    </xf>
    <xf numFmtId="165" fontId="62" fillId="19" borderId="65" applyAlignment="1" pivotButton="0" quotePrefix="0" xfId="2">
      <alignment horizontal="left" vertical="center"/>
    </xf>
    <xf numFmtId="165" fontId="58" fillId="0" borderId="49" applyAlignment="1" pivotButton="0" quotePrefix="0" xfId="2">
      <alignment horizontal="left" vertical="center"/>
    </xf>
    <xf numFmtId="165" fontId="58" fillId="0" borderId="28" applyAlignment="1" pivotButton="0" quotePrefix="0" xfId="2">
      <alignment horizontal="left" vertical="center"/>
    </xf>
    <xf numFmtId="165" fontId="58" fillId="0" borderId="85" applyAlignment="1" pivotButton="0" quotePrefix="0" xfId="2">
      <alignment horizontal="left" vertical="center"/>
    </xf>
    <xf numFmtId="165" fontId="58" fillId="0" borderId="53" applyAlignment="1" pivotButton="0" quotePrefix="0" xfId="2">
      <alignment horizontal="left" vertical="center"/>
    </xf>
    <xf numFmtId="165" fontId="63" fillId="20" borderId="49" applyAlignment="1" pivotButton="0" quotePrefix="0" xfId="2">
      <alignment horizontal="left" vertical="center"/>
    </xf>
    <xf numFmtId="165" fontId="63" fillId="0" borderId="85" applyAlignment="1" pivotButton="0" quotePrefix="0" xfId="2">
      <alignment horizontal="left" vertical="center"/>
    </xf>
    <xf numFmtId="165" fontId="63" fillId="0" borderId="53" applyAlignment="1" pivotButton="0" quotePrefix="0" xfId="2">
      <alignment horizontal="left" vertical="center"/>
    </xf>
    <xf numFmtId="165" fontId="62" fillId="22" borderId="61" applyAlignment="1" pivotButton="0" quotePrefix="0" xfId="2">
      <alignment horizontal="left" vertical="center"/>
    </xf>
    <xf numFmtId="165" fontId="62" fillId="22" borderId="64" applyAlignment="1" pivotButton="0" quotePrefix="0" xfId="2">
      <alignment horizontal="left" vertical="center"/>
    </xf>
    <xf numFmtId="165" fontId="62" fillId="22" borderId="87" applyAlignment="1" pivotButton="0" quotePrefix="0" xfId="2">
      <alignment horizontal="left" vertical="center"/>
    </xf>
    <xf numFmtId="165" fontId="77" fillId="0" borderId="49" applyAlignment="1" pivotButton="0" quotePrefix="0" xfId="2">
      <alignment horizontal="left" vertical="center"/>
    </xf>
    <xf numFmtId="165" fontId="62" fillId="23" borderId="66" applyAlignment="1" pivotButton="0" quotePrefix="0" xfId="1">
      <alignment horizontal="left" vertical="center"/>
    </xf>
    <xf numFmtId="165" fontId="62" fillId="23" borderId="67" applyAlignment="1" pivotButton="0" quotePrefix="0" xfId="1">
      <alignment horizontal="left" vertical="center"/>
    </xf>
    <xf numFmtId="165" fontId="62" fillId="23" borderId="86" applyAlignment="1" pivotButton="0" quotePrefix="0" xfId="1">
      <alignment horizontal="left" vertical="center"/>
    </xf>
    <xf numFmtId="165" fontId="62" fillId="24" borderId="86" applyAlignment="1" pivotButton="0" quotePrefix="0" xfId="1">
      <alignment horizontal="left" vertical="center"/>
    </xf>
    <xf numFmtId="165" fontId="62" fillId="24" borderId="67" applyAlignment="1" pivotButton="0" quotePrefix="0" xfId="1">
      <alignment horizontal="left" vertical="center"/>
    </xf>
    <xf numFmtId="165" fontId="62" fillId="23" borderId="68" applyAlignment="1" pivotButton="0" quotePrefix="0" xfId="1">
      <alignment horizontal="left" vertical="center"/>
    </xf>
    <xf numFmtId="165" fontId="65" fillId="30" borderId="28" applyAlignment="1" pivotButton="0" quotePrefix="0" xfId="2">
      <alignment horizontal="left" vertical="center"/>
    </xf>
    <xf numFmtId="165" fontId="65" fillId="30" borderId="49" applyAlignment="1" pivotButton="0" quotePrefix="0" xfId="2">
      <alignment horizontal="left" vertical="center"/>
    </xf>
    <xf numFmtId="165" fontId="65" fillId="30" borderId="85" applyAlignment="1" pivotButton="0" quotePrefix="0" xfId="2">
      <alignment horizontal="left" vertical="center"/>
    </xf>
    <xf numFmtId="165" fontId="65" fillId="30" borderId="44" applyAlignment="1" pivotButton="0" quotePrefix="0" xfId="2">
      <alignment horizontal="left" vertical="center"/>
    </xf>
    <xf numFmtId="165" fontId="65" fillId="30" borderId="43" applyAlignment="1" pivotButton="0" quotePrefix="0" xfId="2">
      <alignment horizontal="left" vertical="center"/>
    </xf>
    <xf numFmtId="165" fontId="65" fillId="30" borderId="71" applyAlignment="1" pivotButton="0" quotePrefix="0" xfId="2">
      <alignment horizontal="left" vertical="center"/>
    </xf>
    <xf numFmtId="165" fontId="65" fillId="30" borderId="48" applyAlignment="1" pivotButton="0" quotePrefix="0" xfId="2">
      <alignment horizontal="left" vertical="center"/>
    </xf>
    <xf numFmtId="165" fontId="62" fillId="30" borderId="28" applyAlignment="1" pivotButton="0" quotePrefix="0" xfId="2">
      <alignment horizontal="left" vertical="center"/>
    </xf>
    <xf numFmtId="165" fontId="65" fillId="30" borderId="63" applyAlignment="1" pivotButton="0" quotePrefix="0" xfId="2">
      <alignment horizontal="left" vertical="center"/>
    </xf>
    <xf numFmtId="165" fontId="65" fillId="30" borderId="53" applyAlignment="1" pivotButton="0" quotePrefix="0" xfId="2">
      <alignment horizontal="left" vertical="center"/>
    </xf>
    <xf numFmtId="165" fontId="65" fillId="30" borderId="72" applyAlignment="1" pivotButton="0" quotePrefix="0" xfId="2">
      <alignment horizontal="left" vertical="center"/>
    </xf>
    <xf numFmtId="165" fontId="70" fillId="30" borderId="28" applyAlignment="1" pivotButton="0" quotePrefix="0" xfId="2">
      <alignment horizontal="left" vertical="center"/>
    </xf>
    <xf numFmtId="165" fontId="70" fillId="30" borderId="49" applyAlignment="1" pivotButton="0" quotePrefix="0" xfId="2">
      <alignment horizontal="left" vertical="center"/>
    </xf>
    <xf numFmtId="165" fontId="71" fillId="30" borderId="28" applyAlignment="1" pivotButton="0" quotePrefix="0" xfId="2">
      <alignment horizontal="left" vertical="center"/>
    </xf>
    <xf numFmtId="165" fontId="70" fillId="30" borderId="85" applyAlignment="1" pivotButton="0" quotePrefix="0" xfId="2">
      <alignment horizontal="left" vertical="center"/>
    </xf>
    <xf numFmtId="165" fontId="69" fillId="30" borderId="28" applyAlignment="1" pivotButton="0" quotePrefix="0" xfId="2">
      <alignment horizontal="left" vertical="center"/>
    </xf>
    <xf numFmtId="165" fontId="69" fillId="30" borderId="49" applyAlignment="1" pivotButton="0" quotePrefix="0" xfId="2">
      <alignment horizontal="left" vertical="center"/>
    </xf>
    <xf numFmtId="165" fontId="69" fillId="30" borderId="63" applyAlignment="1" pivotButton="0" quotePrefix="0" xfId="2">
      <alignment horizontal="left" vertical="center"/>
    </xf>
    <xf numFmtId="165" fontId="69" fillId="30" borderId="53" applyAlignment="1" pivotButton="0" quotePrefix="0" xfId="2">
      <alignment horizontal="left" vertical="center"/>
    </xf>
    <xf numFmtId="165" fontId="63" fillId="30" borderId="28" applyAlignment="1" pivotButton="0" quotePrefix="0" xfId="2">
      <alignment horizontal="left" vertical="center"/>
    </xf>
    <xf numFmtId="165" fontId="63" fillId="30" borderId="49" applyAlignment="1" pivotButton="0" quotePrefix="0" xfId="2">
      <alignment horizontal="left" vertical="center"/>
    </xf>
    <xf numFmtId="165" fontId="63" fillId="30" borderId="63" applyAlignment="1" pivotButton="0" quotePrefix="0" xfId="2">
      <alignment horizontal="left" vertical="center"/>
    </xf>
    <xf numFmtId="165" fontId="63" fillId="30" borderId="53" applyAlignment="1" pivotButton="0" quotePrefix="0" xfId="2">
      <alignment horizontal="left" vertical="center"/>
    </xf>
    <xf numFmtId="165" fontId="72" fillId="30" borderId="49" applyAlignment="1" pivotButton="0" quotePrefix="0" xfId="2">
      <alignment horizontal="left" vertical="center"/>
    </xf>
    <xf numFmtId="165" fontId="72" fillId="30" borderId="28" applyAlignment="1" pivotButton="0" quotePrefix="0" xfId="2">
      <alignment horizontal="left" vertical="center"/>
    </xf>
    <xf numFmtId="165" fontId="59" fillId="30" borderId="28" applyAlignment="1" pivotButton="0" quotePrefix="0" xfId="2">
      <alignment horizontal="left" vertical="center"/>
    </xf>
    <xf numFmtId="165" fontId="62" fillId="30" borderId="49" applyAlignment="1" pivotButton="0" quotePrefix="0" xfId="1">
      <alignment horizontal="left" vertical="center"/>
    </xf>
    <xf numFmtId="165" fontId="62" fillId="30" borderId="28" applyAlignment="1" pivotButton="0" quotePrefix="0" xfId="1">
      <alignment horizontal="left" vertical="center"/>
    </xf>
    <xf numFmtId="165" fontId="62" fillId="30" borderId="67" applyAlignment="1" pivotButton="0" quotePrefix="0" xfId="1">
      <alignment horizontal="left" vertical="center"/>
    </xf>
    <xf numFmtId="165" fontId="62" fillId="30" borderId="66" applyAlignment="1" pivotButton="0" quotePrefix="0" xfId="1">
      <alignment horizontal="left" vertical="center"/>
    </xf>
    <xf numFmtId="165" fontId="62" fillId="30" borderId="73" applyAlignment="1" pivotButton="0" quotePrefix="0" xfId="1">
      <alignment horizontal="left" vertical="center"/>
    </xf>
    <xf numFmtId="165" fontId="62" fillId="30" borderId="68" applyAlignment="1" pivotButton="0" quotePrefix="0" xfId="1">
      <alignment horizontal="left" vertical="center"/>
    </xf>
    <xf numFmtId="165" fontId="65" fillId="0" borderId="85" applyAlignment="1" pivotButton="0" quotePrefix="0" xfId="1">
      <alignment horizontal="left" vertical="center"/>
    </xf>
    <xf numFmtId="165" fontId="62" fillId="19" borderId="67" applyAlignment="1" pivotButton="0" quotePrefix="0" xfId="1">
      <alignment horizontal="left" vertical="center"/>
    </xf>
    <xf numFmtId="165" fontId="65" fillId="0" borderId="53" applyAlignment="1" pivotButton="0" quotePrefix="0" xfId="1">
      <alignment horizontal="left" vertical="center"/>
    </xf>
    <xf numFmtId="165" fontId="65" fillId="0" borderId="44" applyAlignment="1" pivotButton="0" quotePrefix="0" xfId="1">
      <alignment horizontal="left" vertical="center"/>
    </xf>
    <xf numFmtId="165" fontId="65" fillId="0" borderId="48" applyAlignment="1" pivotButton="0" quotePrefix="0" xfId="1">
      <alignment horizontal="left" vertical="center"/>
    </xf>
    <xf numFmtId="165" fontId="65" fillId="0" borderId="67" applyAlignment="1" pivotButton="0" quotePrefix="0" xfId="2">
      <alignment horizontal="left" vertical="center"/>
    </xf>
    <xf numFmtId="165" fontId="62" fillId="0" borderId="67" applyAlignment="1" pivotButton="0" quotePrefix="0" xfId="2">
      <alignment horizontal="left" vertical="center"/>
    </xf>
    <xf numFmtId="165" fontId="66" fillId="0" borderId="67" applyAlignment="1" pivotButton="0" quotePrefix="0" xfId="2">
      <alignment horizontal="left" vertical="center"/>
    </xf>
    <xf numFmtId="165" fontId="62" fillId="0" borderId="68" applyAlignment="1" pivotButton="0" quotePrefix="0" xfId="2">
      <alignment horizontal="left" vertical="center"/>
    </xf>
    <xf numFmtId="165" fontId="62" fillId="20" borderId="68" applyAlignment="1" pivotButton="0" quotePrefix="0" xfId="2">
      <alignment horizontal="left" vertical="center"/>
    </xf>
    <xf numFmtId="165" fontId="63" fillId="27" borderId="28" applyAlignment="1" pivotButton="0" quotePrefix="0" xfId="2">
      <alignment horizontal="left" vertical="center"/>
    </xf>
    <xf numFmtId="0" fontId="50" fillId="0" borderId="28" applyAlignment="1" pivotButton="0" quotePrefix="0" xfId="0">
      <alignment horizontal="left" vertical="top" wrapText="1"/>
    </xf>
    <xf numFmtId="0" fontId="30" fillId="18" borderId="84" applyAlignment="1" pivotButton="0" quotePrefix="0" xfId="1">
      <alignment horizontal="center" vertical="top"/>
    </xf>
    <xf numFmtId="165" fontId="25" fillId="0" borderId="28" applyAlignment="1" pivotButton="0" quotePrefix="0" xfId="2">
      <alignment horizontal="center" vertical="top"/>
    </xf>
    <xf numFmtId="167" fontId="34" fillId="0" borderId="28" applyAlignment="1" pivotButton="0" quotePrefix="0" xfId="3">
      <alignment horizontal="center" vertical="top"/>
    </xf>
    <xf numFmtId="167" fontId="34" fillId="0" borderId="56" applyAlignment="1" pivotButton="0" quotePrefix="0" xfId="3">
      <alignment horizontal="center" vertical="top"/>
    </xf>
    <xf numFmtId="167" fontId="34" fillId="0" borderId="53" applyAlignment="1" pivotButton="0" quotePrefix="0" xfId="3">
      <alignment horizontal="center" vertical="top"/>
    </xf>
    <xf numFmtId="167" fontId="34" fillId="0" borderId="49" applyAlignment="1" pivotButton="0" quotePrefix="0" xfId="3">
      <alignment horizontal="center" vertical="top"/>
    </xf>
    <xf numFmtId="167" fontId="34" fillId="19" borderId="59" applyAlignment="1" pivotButton="0" quotePrefix="0" xfId="3">
      <alignment horizontal="center" vertical="top"/>
    </xf>
    <xf numFmtId="167" fontId="34" fillId="19" borderId="60" applyAlignment="1" pivotButton="0" quotePrefix="0" xfId="3">
      <alignment horizontal="center" vertical="top"/>
    </xf>
    <xf numFmtId="165" fontId="6" fillId="0" borderId="28" applyAlignment="1" pivotButton="0" quotePrefix="0" xfId="2">
      <alignment horizontal="center" vertical="top"/>
    </xf>
    <xf numFmtId="165" fontId="6" fillId="20" borderId="56" applyAlignment="1" pivotButton="0" quotePrefix="0" xfId="2">
      <alignment horizontal="center" vertical="top"/>
    </xf>
    <xf numFmtId="165" fontId="32" fillId="20" borderId="62" applyAlignment="1" pivotButton="0" quotePrefix="0" xfId="2">
      <alignment horizontal="center" vertical="top"/>
    </xf>
    <xf numFmtId="165" fontId="37" fillId="20" borderId="63" applyAlignment="1" pivotButton="0" quotePrefix="0" xfId="2">
      <alignment horizontal="center" vertical="top"/>
    </xf>
    <xf numFmtId="165" fontId="25" fillId="20" borderId="56" applyAlignment="1" pivotButton="0" quotePrefix="0" xfId="2">
      <alignment horizontal="center" vertical="top"/>
    </xf>
    <xf numFmtId="165" fontId="25" fillId="20" borderId="28" applyAlignment="1" pivotButton="0" quotePrefix="0" xfId="2">
      <alignment horizontal="center" vertical="top"/>
    </xf>
    <xf numFmtId="165" fontId="25" fillId="20" borderId="57" applyAlignment="1" pivotButton="0" quotePrefix="0" xfId="2">
      <alignment horizontal="center" vertical="top"/>
    </xf>
    <xf numFmtId="165" fontId="6" fillId="20" borderId="28" applyAlignment="1" pivotButton="0" quotePrefix="0" xfId="2">
      <alignment horizontal="center" vertical="top"/>
    </xf>
    <xf numFmtId="165" fontId="25" fillId="20" borderId="63" applyAlignment="1" pivotButton="0" quotePrefix="0" xfId="2">
      <alignment horizontal="center" vertical="top"/>
    </xf>
    <xf numFmtId="165" fontId="37" fillId="20" borderId="53" applyAlignment="1" pivotButton="0" quotePrefix="0" xfId="2">
      <alignment horizontal="center" vertical="top"/>
    </xf>
    <xf numFmtId="165" fontId="37" fillId="0" borderId="28" applyAlignment="1" pivotButton="0" quotePrefix="0" xfId="2">
      <alignment horizontal="center" vertical="top"/>
    </xf>
    <xf numFmtId="165" fontId="32" fillId="20" borderId="28" applyAlignment="1" pivotButton="0" quotePrefix="0" xfId="2">
      <alignment horizontal="center" vertical="top"/>
    </xf>
    <xf numFmtId="165" fontId="25" fillId="0" borderId="56" applyAlignment="1" pivotButton="0" quotePrefix="0" xfId="2">
      <alignment horizontal="center" vertical="top"/>
    </xf>
    <xf numFmtId="165" fontId="32" fillId="0" borderId="62" applyAlignment="1" pivotButton="0" quotePrefix="0" xfId="2">
      <alignment horizontal="center" vertical="top"/>
    </xf>
    <xf numFmtId="165" fontId="25" fillId="0" borderId="63" applyAlignment="1" pivotButton="0" quotePrefix="0" xfId="2">
      <alignment horizontal="center" vertical="top"/>
    </xf>
    <xf numFmtId="165" fontId="25" fillId="0" borderId="57" applyAlignment="1" pivotButton="0" quotePrefix="0" xfId="2">
      <alignment horizontal="center" vertical="top"/>
    </xf>
    <xf numFmtId="165" fontId="25" fillId="0" borderId="53" applyAlignment="1" pivotButton="0" quotePrefix="0" xfId="2">
      <alignment horizontal="center" vertical="top"/>
    </xf>
    <xf numFmtId="165" fontId="6" fillId="0" borderId="56" applyAlignment="1" pivotButton="0" quotePrefix="0" xfId="2">
      <alignment horizontal="center" vertical="top"/>
    </xf>
    <xf numFmtId="165" fontId="39" fillId="0" borderId="62" applyAlignment="1" pivotButton="0" quotePrefix="0" xfId="2">
      <alignment horizontal="center" vertical="top"/>
    </xf>
    <xf numFmtId="165" fontId="37" fillId="0" borderId="63" applyAlignment="1" pivotButton="0" quotePrefix="0" xfId="2">
      <alignment horizontal="center" vertical="top"/>
    </xf>
    <xf numFmtId="165" fontId="41" fillId="0" borderId="28" applyAlignment="1" pivotButton="0" quotePrefix="0" xfId="2">
      <alignment horizontal="center" vertical="top"/>
    </xf>
    <xf numFmtId="165" fontId="37" fillId="0" borderId="57" applyAlignment="1" pivotButton="0" quotePrefix="0" xfId="2">
      <alignment horizontal="center" vertical="top"/>
    </xf>
    <xf numFmtId="165" fontId="37" fillId="0" borderId="53" applyAlignment="1" pivotButton="0" quotePrefix="0" xfId="2">
      <alignment horizontal="center" vertical="top"/>
    </xf>
    <xf numFmtId="165" fontId="25" fillId="0" borderId="28" applyAlignment="1" pivotButton="0" quotePrefix="0" xfId="2">
      <alignment vertical="top"/>
    </xf>
    <xf numFmtId="165" fontId="41" fillId="0" borderId="62" applyAlignment="1" pivotButton="0" quotePrefix="0" xfId="2">
      <alignment horizontal="center" vertical="top"/>
    </xf>
    <xf numFmtId="165" fontId="41" fillId="0" borderId="56" applyAlignment="1" pivotButton="0" quotePrefix="0" xfId="2">
      <alignment horizontal="center" vertical="top"/>
    </xf>
    <xf numFmtId="165" fontId="41" fillId="0" borderId="28" applyAlignment="1" pivotButton="0" quotePrefix="1" xfId="2">
      <alignment horizontal="center" vertical="top"/>
    </xf>
    <xf numFmtId="165" fontId="37" fillId="0" borderId="56" applyAlignment="1" pivotButton="0" quotePrefix="0" xfId="2">
      <alignment horizontal="center" vertical="top"/>
    </xf>
    <xf numFmtId="165" fontId="41" fillId="20" borderId="62" applyAlignment="1" pivotButton="0" quotePrefix="0" xfId="2">
      <alignment horizontal="center" vertical="top"/>
    </xf>
    <xf numFmtId="165" fontId="37" fillId="20" borderId="56" applyAlignment="1" pivotButton="0" quotePrefix="0" xfId="2">
      <alignment horizontal="center" vertical="top"/>
    </xf>
    <xf numFmtId="165" fontId="41" fillId="20" borderId="56" applyAlignment="1" pivotButton="0" quotePrefix="0" xfId="2">
      <alignment horizontal="center" vertical="top"/>
    </xf>
    <xf numFmtId="165" fontId="41" fillId="20" borderId="28" applyAlignment="1" pivotButton="0" quotePrefix="0" xfId="2">
      <alignment horizontal="center" vertical="top"/>
    </xf>
    <xf numFmtId="165" fontId="37" fillId="20" borderId="57" applyAlignment="1" pivotButton="0" quotePrefix="0" xfId="2">
      <alignment horizontal="center" vertical="top"/>
    </xf>
    <xf numFmtId="165" fontId="6" fillId="0" borderId="62" applyAlignment="1" pivotButton="0" quotePrefix="0" xfId="2">
      <alignment horizontal="center" vertical="top"/>
    </xf>
    <xf numFmtId="165" fontId="29" fillId="0" borderId="62" applyAlignment="1" pivotButton="0" quotePrefix="0" xfId="2">
      <alignment horizontal="center" vertical="top"/>
    </xf>
    <xf numFmtId="165" fontId="29" fillId="0" borderId="63" applyAlignment="1" pivotButton="0" quotePrefix="0" xfId="2">
      <alignment horizontal="center" vertical="top"/>
    </xf>
    <xf numFmtId="165" fontId="29" fillId="0" borderId="56" applyAlignment="1" pivotButton="0" quotePrefix="0" xfId="2">
      <alignment horizontal="center" vertical="top"/>
    </xf>
    <xf numFmtId="165" fontId="29" fillId="0" borderId="28" applyAlignment="1" pivotButton="0" quotePrefix="0" xfId="2">
      <alignment horizontal="center" vertical="top"/>
    </xf>
    <xf numFmtId="165" fontId="6" fillId="21" borderId="28" applyAlignment="1" pivotButton="0" quotePrefix="0" xfId="2">
      <alignment horizontal="center" vertical="top"/>
    </xf>
    <xf numFmtId="165" fontId="6" fillId="21" borderId="56" applyAlignment="1" pivotButton="0" quotePrefix="0" xfId="2">
      <alignment horizontal="center" vertical="top"/>
    </xf>
    <xf numFmtId="165" fontId="6" fillId="20" borderId="62" applyAlignment="1" pivotButton="0" quotePrefix="0" xfId="2">
      <alignment horizontal="center" vertical="top"/>
    </xf>
    <xf numFmtId="165" fontId="25" fillId="20" borderId="53" applyAlignment="1" pivotButton="0" quotePrefix="0" xfId="2">
      <alignment horizontal="center" vertical="top"/>
    </xf>
    <xf numFmtId="165" fontId="4" fillId="0" borderId="28" applyAlignment="1" pivotButton="0" quotePrefix="0" xfId="2">
      <alignment horizontal="center" vertical="top"/>
    </xf>
    <xf numFmtId="165" fontId="38" fillId="0" borderId="28" applyAlignment="1" pivotButton="0" quotePrefix="0" xfId="2">
      <alignment horizontal="center" vertical="top"/>
    </xf>
    <xf numFmtId="165" fontId="35" fillId="0" borderId="28" applyAlignment="1" pivotButton="0" quotePrefix="0" xfId="2">
      <alignment horizontal="center" vertical="top"/>
    </xf>
    <xf numFmtId="165" fontId="35" fillId="0" borderId="62" applyAlignment="1" pivotButton="0" quotePrefix="0" xfId="2">
      <alignment horizontal="center" vertical="top"/>
    </xf>
    <xf numFmtId="165" fontId="35" fillId="0" borderId="56" applyAlignment="1" pivotButton="0" quotePrefix="0" xfId="2">
      <alignment horizontal="center" vertical="top"/>
    </xf>
    <xf numFmtId="165" fontId="35" fillId="0" borderId="57" applyAlignment="1" pivotButton="0" quotePrefix="0" xfId="2">
      <alignment horizontal="center" vertical="top"/>
    </xf>
    <xf numFmtId="165" fontId="35" fillId="0" borderId="63" applyAlignment="1" pivotButton="0" quotePrefix="0" xfId="2">
      <alignment horizontal="center" vertical="top"/>
    </xf>
    <xf numFmtId="165" fontId="35" fillId="0" borderId="53" applyAlignment="1" pivotButton="0" quotePrefix="0" xfId="2">
      <alignment horizontal="center" vertical="top"/>
    </xf>
    <xf numFmtId="165" fontId="25" fillId="19" borderId="61" applyAlignment="1" pivotButton="0" quotePrefix="0" xfId="2">
      <alignment horizontal="center" vertical="top"/>
    </xf>
    <xf numFmtId="165" fontId="25" fillId="19" borderId="65" applyAlignment="1" pivotButton="0" quotePrefix="0" xfId="2">
      <alignment horizontal="center" vertical="top"/>
    </xf>
    <xf numFmtId="165" fontId="38" fillId="0" borderId="53" applyAlignment="1" pivotButton="0" quotePrefix="0" xfId="2">
      <alignment horizontal="center" vertical="top"/>
    </xf>
    <xf numFmtId="165" fontId="34" fillId="0" borderId="53" applyAlignment="1" pivotButton="0" quotePrefix="0" xfId="2">
      <alignment horizontal="center" vertical="top"/>
    </xf>
    <xf numFmtId="165" fontId="34" fillId="0" borderId="28" applyAlignment="1" pivotButton="0" quotePrefix="0" xfId="2">
      <alignment horizontal="center" vertical="top"/>
    </xf>
    <xf numFmtId="165" fontId="28" fillId="0" borderId="28" applyAlignment="1" pivotButton="0" quotePrefix="0" xfId="2">
      <alignment horizontal="center" vertical="top"/>
    </xf>
    <xf numFmtId="165" fontId="28" fillId="0" borderId="28" applyAlignment="1" pivotButton="0" quotePrefix="0" xfId="2">
      <alignment vertical="top"/>
    </xf>
    <xf numFmtId="165" fontId="43" fillId="0" borderId="28" applyAlignment="1" pivotButton="0" quotePrefix="0" xfId="2">
      <alignment horizontal="center" vertical="top"/>
    </xf>
    <xf numFmtId="165" fontId="39" fillId="0" borderId="28" applyAlignment="1" pivotButton="0" quotePrefix="0" xfId="2">
      <alignment horizontal="center" vertical="top"/>
    </xf>
    <xf numFmtId="168" fontId="24" fillId="0" borderId="28" applyAlignment="1" pivotButton="0" quotePrefix="0" xfId="1">
      <alignment vertical="top"/>
    </xf>
    <xf numFmtId="165" fontId="44" fillId="0" borderId="28" applyAlignment="1" pivotButton="0" quotePrefix="0" xfId="5">
      <alignment horizontal="center" vertical="top"/>
    </xf>
    <xf numFmtId="168" fontId="39" fillId="0" borderId="28" applyAlignment="1" pivotButton="0" quotePrefix="0" xfId="2">
      <alignment horizontal="center" vertical="top"/>
    </xf>
    <xf numFmtId="165" fontId="44" fillId="0" borderId="28" applyAlignment="1" pivotButton="0" quotePrefix="0" xfId="2">
      <alignment horizontal="center" vertical="top"/>
    </xf>
    <xf numFmtId="168" fontId="24" fillId="0" borderId="28" applyAlignment="1" pivotButton="0" quotePrefix="0" xfId="1">
      <alignment horizontal="left" vertical="top" wrapText="1"/>
    </xf>
    <xf numFmtId="165" fontId="24" fillId="0" borderId="28" applyAlignment="1" pivotButton="0" quotePrefix="0" xfId="2">
      <alignment horizontal="center" vertical="top"/>
    </xf>
    <xf numFmtId="165" fontId="32" fillId="0" borderId="28" applyAlignment="1" pivotButton="0" quotePrefix="0" xfId="2">
      <alignment horizontal="center" vertical="top"/>
    </xf>
    <xf numFmtId="165" fontId="32" fillId="0" borderId="28" applyAlignment="1" pivotButton="0" quotePrefix="0" xfId="2">
      <alignment vertical="top"/>
    </xf>
    <xf numFmtId="165" fontId="0" fillId="0" borderId="28" applyAlignment="1" pivotButton="0" quotePrefix="0" xfId="2">
      <alignment horizontal="center" vertical="top"/>
    </xf>
    <xf numFmtId="165" fontId="0" fillId="0" borderId="56" applyAlignment="1" pivotButton="0" quotePrefix="0" xfId="2">
      <alignment horizontal="center" vertical="top"/>
    </xf>
    <xf numFmtId="165" fontId="0" fillId="0" borderId="62" applyAlignment="1" pivotButton="0" quotePrefix="0" xfId="2">
      <alignment horizontal="center" vertical="top"/>
    </xf>
    <xf numFmtId="165" fontId="0" fillId="0" borderId="53" applyAlignment="1" pivotButton="0" quotePrefix="0" xfId="2">
      <alignment horizontal="center" vertical="top"/>
    </xf>
    <xf numFmtId="165" fontId="32" fillId="0" borderId="53" applyAlignment="1" pivotButton="0" quotePrefix="0" xfId="2">
      <alignment horizontal="center" vertical="top"/>
    </xf>
    <xf numFmtId="165" fontId="25" fillId="22" borderId="61" applyAlignment="1" pivotButton="0" quotePrefix="0" xfId="2">
      <alignment horizontal="center" vertical="top"/>
    </xf>
    <xf numFmtId="165" fontId="25" fillId="22" borderId="65" applyAlignment="1" pivotButton="0" quotePrefix="0" xfId="2">
      <alignment horizontal="center" vertical="top"/>
    </xf>
    <xf numFmtId="165" fontId="25" fillId="23" borderId="67" applyAlignment="1" pivotButton="0" quotePrefix="0" xfId="1">
      <alignment horizontal="center" vertical="top"/>
    </xf>
    <xf numFmtId="165" fontId="25" fillId="24" borderId="68" applyAlignment="1" pivotButton="0" quotePrefix="0" xfId="1">
      <alignment horizontal="center" vertical="top"/>
    </xf>
    <xf numFmtId="165" fontId="25" fillId="24" borderId="67" applyAlignment="1" pivotButton="0" quotePrefix="0" xfId="1">
      <alignment horizontal="center" vertical="top"/>
    </xf>
    <xf numFmtId="165" fontId="25" fillId="23" borderId="68" applyAlignment="1" pivotButton="0" quotePrefix="0" xfId="1">
      <alignment horizontal="center" vertical="top"/>
    </xf>
    <xf numFmtId="165" fontId="6" fillId="0" borderId="28" applyAlignment="1" pivotButton="0" quotePrefix="0" xfId="1">
      <alignment horizontal="center" vertical="top"/>
    </xf>
    <xf numFmtId="165" fontId="6" fillId="20" borderId="44" applyAlignment="1" pivotButton="0" quotePrefix="0" xfId="2">
      <alignment horizontal="center" vertical="top"/>
    </xf>
    <xf numFmtId="165" fontId="41" fillId="20" borderId="44" applyAlignment="1" pivotButton="0" quotePrefix="0" xfId="2">
      <alignment horizontal="center" vertical="top"/>
    </xf>
    <xf numFmtId="165" fontId="41" fillId="20" borderId="48" applyAlignment="1" pivotButton="0" quotePrefix="0" xfId="2">
      <alignment horizontal="center" vertical="top"/>
    </xf>
    <xf numFmtId="165" fontId="41" fillId="20" borderId="43" applyAlignment="1" pivotButton="0" quotePrefix="0" xfId="2">
      <alignment horizontal="center" vertical="top"/>
    </xf>
    <xf numFmtId="165" fontId="41" fillId="20" borderId="71" applyAlignment="1" pivotButton="0" quotePrefix="0" xfId="2">
      <alignment horizontal="center" vertical="top"/>
    </xf>
    <xf numFmtId="165" fontId="41" fillId="20" borderId="53" applyAlignment="1" pivotButton="0" quotePrefix="0" xfId="2">
      <alignment horizontal="center" vertical="top"/>
    </xf>
    <xf numFmtId="165" fontId="41" fillId="20" borderId="72" applyAlignment="1" pivotButton="0" quotePrefix="0" xfId="2">
      <alignment horizontal="center" vertical="top"/>
    </xf>
    <xf numFmtId="165" fontId="41" fillId="20" borderId="63" applyAlignment="1" pivotButton="0" quotePrefix="0" xfId="2">
      <alignment horizontal="center" vertical="top"/>
    </xf>
    <xf numFmtId="165" fontId="5" fillId="20" borderId="28" applyAlignment="1" pivotButton="0" quotePrefix="0" xfId="2">
      <alignment horizontal="center" vertical="top"/>
    </xf>
    <xf numFmtId="165" fontId="39" fillId="20" borderId="28" applyAlignment="1" pivotButton="0" quotePrefix="0" xfId="2">
      <alignment horizontal="center" vertical="top"/>
    </xf>
    <xf numFmtId="165" fontId="41" fillId="20" borderId="49" applyAlignment="1" pivotButton="0" quotePrefix="0" xfId="2">
      <alignment horizontal="center" vertical="top"/>
    </xf>
    <xf numFmtId="165" fontId="45" fillId="20" borderId="28" applyAlignment="1" pivotButton="0" quotePrefix="0" xfId="2">
      <alignment horizontal="center" vertical="top"/>
    </xf>
    <xf numFmtId="165" fontId="45" fillId="20" borderId="53" applyAlignment="1" pivotButton="0" quotePrefix="0" xfId="2">
      <alignment horizontal="center" vertical="top"/>
    </xf>
    <xf numFmtId="165" fontId="45" fillId="20" borderId="49" applyAlignment="1" pivotButton="0" quotePrefix="0" xfId="2">
      <alignment horizontal="center" vertical="top"/>
    </xf>
    <xf numFmtId="165" fontId="45" fillId="20" borderId="63" applyAlignment="1" pivotButton="0" quotePrefix="0" xfId="2">
      <alignment horizontal="center" vertical="top"/>
    </xf>
    <xf numFmtId="165" fontId="32" fillId="20" borderId="53" applyAlignment="1" pivotButton="0" quotePrefix="0" xfId="2">
      <alignment horizontal="center" vertical="top"/>
    </xf>
    <xf numFmtId="165" fontId="32" fillId="20" borderId="49" applyAlignment="1" pivotButton="0" quotePrefix="0" xfId="2">
      <alignment horizontal="center" vertical="top"/>
    </xf>
    <xf numFmtId="165" fontId="32" fillId="20" borderId="63" applyAlignment="1" pivotButton="0" quotePrefix="0" xfId="2">
      <alignment horizontal="center" vertical="top"/>
    </xf>
    <xf numFmtId="165" fontId="24" fillId="0" borderId="28" applyAlignment="1" pivotButton="0" quotePrefix="0" xfId="2">
      <alignment horizontal="left" vertical="top"/>
    </xf>
    <xf numFmtId="165" fontId="25" fillId="20" borderId="67" applyAlignment="1" pivotButton="0" quotePrefix="0" xfId="1">
      <alignment horizontal="center" vertical="top"/>
    </xf>
    <xf numFmtId="165" fontId="25" fillId="20" borderId="68" applyAlignment="1" pivotButton="0" quotePrefix="0" xfId="1">
      <alignment horizontal="center" vertical="top"/>
    </xf>
    <xf numFmtId="165" fontId="25" fillId="20" borderId="66" applyAlignment="1" pivotButton="0" quotePrefix="0" xfId="1">
      <alignment horizontal="center" vertical="top"/>
    </xf>
    <xf numFmtId="165" fontId="25" fillId="20" borderId="73" applyAlignment="1" pivotButton="0" quotePrefix="0" xfId="1">
      <alignment horizontal="center" vertical="top"/>
    </xf>
    <xf numFmtId="165" fontId="25" fillId="0" borderId="28" applyAlignment="1" pivotButton="0" quotePrefix="0" xfId="1">
      <alignment horizontal="center" vertical="top"/>
    </xf>
    <xf numFmtId="165" fontId="6" fillId="0" borderId="44" applyAlignment="1" pivotButton="0" quotePrefix="0" xfId="1">
      <alignment horizontal="center" vertical="top"/>
    </xf>
    <xf numFmtId="165" fontId="25" fillId="0" borderId="48" applyAlignment="1" pivotButton="0" quotePrefix="0" xfId="1">
      <alignment horizontal="center" vertical="top"/>
    </xf>
    <xf numFmtId="165" fontId="6" fillId="0" borderId="48" applyAlignment="1" pivotButton="0" quotePrefix="0" xfId="1">
      <alignment horizontal="center" vertical="top"/>
    </xf>
    <xf numFmtId="165" fontId="6" fillId="0" borderId="53" applyAlignment="1" pivotButton="0" quotePrefix="0" xfId="1">
      <alignment horizontal="center" vertical="top"/>
    </xf>
    <xf numFmtId="165" fontId="25" fillId="0" borderId="53" applyAlignment="1" pivotButton="0" quotePrefix="0" xfId="1">
      <alignment horizontal="center" vertical="top"/>
    </xf>
    <xf numFmtId="165" fontId="6" fillId="23" borderId="69" applyAlignment="1" pivotButton="0" quotePrefix="0" xfId="1">
      <alignment horizontal="center" vertical="top"/>
    </xf>
    <xf numFmtId="165" fontId="25" fillId="24" borderId="70" applyAlignment="1" pivotButton="0" quotePrefix="0" xfId="1">
      <alignment horizontal="center" vertical="top"/>
    </xf>
    <xf numFmtId="165" fontId="25" fillId="24" borderId="69" applyAlignment="1" pivotButton="0" quotePrefix="0" xfId="1">
      <alignment horizontal="center" vertical="top"/>
    </xf>
    <xf numFmtId="165" fontId="6" fillId="0" borderId="70" applyAlignment="1" pivotButton="0" quotePrefix="0" xfId="1">
      <alignment horizontal="center" vertical="top"/>
    </xf>
    <xf numFmtId="165" fontId="6" fillId="0" borderId="67" applyAlignment="1" pivotButton="0" quotePrefix="0" xfId="2">
      <alignment horizontal="center" vertical="top"/>
    </xf>
    <xf numFmtId="165" fontId="25" fillId="0" borderId="67" applyAlignment="1" pivotButton="0" quotePrefix="0" xfId="2">
      <alignment horizontal="center" vertical="top"/>
    </xf>
    <xf numFmtId="165" fontId="34" fillId="0" borderId="67" applyAlignment="1" pivotButton="0" quotePrefix="0" xfId="2">
      <alignment horizontal="center" vertical="top"/>
    </xf>
    <xf numFmtId="165" fontId="37" fillId="0" borderId="67" applyAlignment="1" pivotButton="0" quotePrefix="0" xfId="2">
      <alignment horizontal="center" vertical="top"/>
    </xf>
    <xf numFmtId="165" fontId="25" fillId="0" borderId="68" applyAlignment="1" pivotButton="0" quotePrefix="0" xfId="2">
      <alignment horizontal="center" vertical="top"/>
    </xf>
    <xf numFmtId="165" fontId="37" fillId="20" borderId="68" applyAlignment="1" pivotButton="0" quotePrefix="0" xfId="2">
      <alignment horizontal="center" vertical="top"/>
    </xf>
    <xf numFmtId="0" fontId="50" fillId="0" borderId="28" applyAlignment="1" pivotButton="0" quotePrefix="0" xfId="0">
      <alignment horizontal="left" wrapText="1"/>
    </xf>
    <xf numFmtId="0" fontId="12" fillId="3" borderId="42" applyAlignment="1" pivotButton="0" quotePrefix="0" xfId="0">
      <alignment horizontal="center"/>
    </xf>
    <xf numFmtId="0" fontId="0" fillId="0" borderId="2" pivotButton="0" quotePrefix="0" xfId="0"/>
    <xf numFmtId="0" fontId="14" fillId="3" borderId="42" applyAlignment="1" pivotButton="0" quotePrefix="0" xfId="0">
      <alignment horizontal="center"/>
    </xf>
    <xf numFmtId="0" fontId="0" fillId="0" borderId="3" pivotButton="0" quotePrefix="0" xfId="0"/>
    <xf numFmtId="164" fontId="14" fillId="0" borderId="4" applyAlignment="1" pivotButton="0" quotePrefix="0" xfId="0">
      <alignment horizontal="center" vertical="center" wrapText="1"/>
    </xf>
    <xf numFmtId="165" fontId="0" fillId="5" borderId="20" applyAlignment="1" pivotButton="0" quotePrefix="0" xfId="0">
      <alignment horizontal="center"/>
    </xf>
    <xf numFmtId="165" fontId="0" fillId="0" borderId="16" pivotButton="0" quotePrefix="0" xfId="0"/>
    <xf numFmtId="165" fontId="0" fillId="0" borderId="17" pivotButton="0" quotePrefix="0" xfId="0"/>
    <xf numFmtId="165" fontId="0" fillId="5" borderId="22" applyAlignment="1" pivotButton="0" quotePrefix="0" xfId="0">
      <alignment horizontal="center"/>
    </xf>
    <xf numFmtId="165" fontId="14" fillId="0" borderId="23" pivotButton="0" quotePrefix="0" xfId="0"/>
    <xf numFmtId="165" fontId="14" fillId="0" borderId="24" pivotButton="0" quotePrefix="0" xfId="0"/>
    <xf numFmtId="0" fontId="15" fillId="4" borderId="28" applyAlignment="1" pivotButton="0" quotePrefix="0" xfId="0">
      <alignment horizontal="center" vertical="center" wrapText="1"/>
    </xf>
    <xf numFmtId="165" fontId="0" fillId="5" borderId="18" applyAlignment="1" pivotButton="0" quotePrefix="0" xfId="0">
      <alignment horizontal="center"/>
    </xf>
    <xf numFmtId="165" fontId="0" fillId="5" borderId="16" applyAlignment="1" pivotButton="0" quotePrefix="0" xfId="0">
      <alignment horizontal="center"/>
    </xf>
    <xf numFmtId="165" fontId="11" fillId="5" borderId="17" applyAlignment="1" pivotButton="0" quotePrefix="0" xfId="0">
      <alignment horizontal="center"/>
    </xf>
    <xf numFmtId="0" fontId="0" fillId="0" borderId="22" pivotButton="0" quotePrefix="0" xfId="0"/>
    <xf numFmtId="0" fontId="0" fillId="0" borderId="21" pivotButton="0" quotePrefix="0" xfId="0"/>
    <xf numFmtId="165" fontId="0" fillId="5" borderId="18" applyAlignment="1" pivotButton="0" quotePrefix="0" xfId="0">
      <alignment horizontal="center" wrapText="1"/>
    </xf>
    <xf numFmtId="165" fontId="0" fillId="5" borderId="17" applyAlignment="1" pivotButton="0" quotePrefix="0" xfId="0">
      <alignment horizontal="center"/>
    </xf>
    <xf numFmtId="165" fontId="11" fillId="5" borderId="16" applyAlignment="1" pivotButton="0" quotePrefix="0" xfId="0">
      <alignment horizontal="center"/>
    </xf>
    <xf numFmtId="165" fontId="0" fillId="5" borderId="30" applyAlignment="1" pivotButton="0" quotePrefix="0" xfId="0">
      <alignment horizontal="center"/>
    </xf>
    <xf numFmtId="165" fontId="0" fillId="5" borderId="31" applyAlignment="1" pivotButton="0" quotePrefix="0" xfId="0">
      <alignment horizontal="center"/>
    </xf>
    <xf numFmtId="165" fontId="0" fillId="5" borderId="32" applyAlignment="1" pivotButton="0" quotePrefix="0" xfId="0">
      <alignment horizontal="center"/>
    </xf>
    <xf numFmtId="165" fontId="9" fillId="0" borderId="24" pivotButton="0" quotePrefix="0" xfId="0"/>
    <xf numFmtId="165" fontId="9" fillId="0" borderId="23" pivotButton="0" quotePrefix="0" xfId="0"/>
    <xf numFmtId="0" fontId="10" fillId="0" borderId="28" applyAlignment="1" pivotButton="0" quotePrefix="0" xfId="0">
      <alignment horizontal="center"/>
    </xf>
    <xf numFmtId="165" fontId="11" fillId="0" borderId="17" pivotButton="0" quotePrefix="0" xfId="0"/>
    <xf numFmtId="165" fontId="11" fillId="0" borderId="18" pivotButton="0" quotePrefix="0" xfId="0"/>
    <xf numFmtId="165" fontId="11" fillId="0" borderId="16" pivotButton="0" quotePrefix="0" xfId="0"/>
    <xf numFmtId="165" fontId="11" fillId="0" borderId="19" pivotButton="0" quotePrefix="0" xfId="0"/>
    <xf numFmtId="165" fontId="11" fillId="0" borderId="21" pivotButton="0" quotePrefix="0" xfId="0"/>
    <xf numFmtId="165" fontId="11" fillId="9" borderId="17" pivotButton="0" quotePrefix="0" xfId="0"/>
    <xf numFmtId="165" fontId="11" fillId="9" borderId="18" pivotButton="0" quotePrefix="0" xfId="0"/>
    <xf numFmtId="165" fontId="11" fillId="9" borderId="16" pivotButton="0" quotePrefix="0" xfId="0"/>
    <xf numFmtId="165" fontId="11" fillId="9" borderId="19" pivotButton="0" quotePrefix="0" xfId="0"/>
    <xf numFmtId="165" fontId="11" fillId="9" borderId="21" pivotButton="0" quotePrefix="0" xfId="0"/>
    <xf numFmtId="165" fontId="11" fillId="0" borderId="35" pivotButton="0" quotePrefix="0" xfId="0"/>
    <xf numFmtId="165" fontId="11" fillId="0" borderId="36" pivotButton="0" quotePrefix="0" xfId="0"/>
    <xf numFmtId="165" fontId="11" fillId="0" borderId="37" pivotButton="0" quotePrefix="0" xfId="0"/>
    <xf numFmtId="165" fontId="11" fillId="0" borderId="38" pivotButton="0" quotePrefix="0" xfId="0"/>
    <xf numFmtId="165" fontId="11" fillId="0" borderId="39" pivotButton="0" quotePrefix="0" xfId="0"/>
    <xf numFmtId="166" fontId="9" fillId="0" borderId="0" applyAlignment="1" pivotButton="0" quotePrefix="0" xfId="0">
      <alignment horizontal="right"/>
    </xf>
    <xf numFmtId="166" fontId="9" fillId="0" borderId="0" pivotButton="0" quotePrefix="0" xfId="0"/>
    <xf numFmtId="166" fontId="9" fillId="0" borderId="40" applyAlignment="1" pivotButton="0" quotePrefix="0" xfId="0">
      <alignment horizontal="right"/>
    </xf>
    <xf numFmtId="166" fontId="9" fillId="0" borderId="41" applyAlignment="1" pivotButton="0" quotePrefix="0" xfId="0">
      <alignment horizontal="right"/>
    </xf>
    <xf numFmtId="166" fontId="20" fillId="0" borderId="3" pivotButton="0" quotePrefix="0" xfId="0"/>
    <xf numFmtId="166" fontId="20" fillId="0" borderId="1" pivotButton="0" quotePrefix="0" xfId="0"/>
    <xf numFmtId="166" fontId="20" fillId="0" borderId="2" pivotButton="0" quotePrefix="0" xfId="0"/>
    <xf numFmtId="165" fontId="0" fillId="11" borderId="16" pivotButton="0" quotePrefix="0" xfId="0"/>
    <xf numFmtId="165" fontId="0" fillId="11" borderId="17" pivotButton="0" quotePrefix="0" xfId="0"/>
    <xf numFmtId="165" fontId="0" fillId="5" borderId="18" applyAlignment="1" pivotButton="0" quotePrefix="0" xfId="0">
      <alignment horizontal="left"/>
    </xf>
    <xf numFmtId="0" fontId="22" fillId="13" borderId="2" applyAlignment="1" pivotButton="0" quotePrefix="0" xfId="0">
      <alignment horizontal="center"/>
    </xf>
    <xf numFmtId="0" fontId="22" fillId="15" borderId="42" applyAlignment="1" pivotButton="0" quotePrefix="0" xfId="0">
      <alignment horizontal="center"/>
    </xf>
    <xf numFmtId="0" fontId="22" fillId="16" borderId="42" applyAlignment="1" pivotButton="0" quotePrefix="0" xfId="0">
      <alignment horizontal="center"/>
    </xf>
  </cellXfs>
  <cellStyles count="10">
    <cellStyle name="Normal" xfId="0" builtinId="0"/>
    <cellStyle name="Normal 2" xfId="1"/>
    <cellStyle name="Currency 2" xfId="2"/>
    <cellStyle name="Comma 2" xfId="3"/>
    <cellStyle name="Percent 2" xfId="4"/>
    <cellStyle name="Good 2" xfId="5"/>
    <cellStyle name="Hyperlink" xfId="6" builtinId="8"/>
    <cellStyle name="Percent" xfId="7" builtinId="5"/>
    <cellStyle name="Comma" xfId="8" builtinId="3"/>
    <cellStyle name="Normal 3" xfId="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Monthly Cash Burn</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Model'!$D$34</f>
            </numRef>
          </val>
        </ser>
        <ser>
          <idx val="1"/>
          <order val="1"/>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Model'!$E$34</f>
            </numRef>
          </val>
        </ser>
        <ser>
          <idx val="2"/>
          <order val="2"/>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Model'!$F$34</f>
            </numRef>
          </val>
        </ser>
        <ser>
          <idx val="3"/>
          <order val="3"/>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Model'!$G$34</f>
            </numRef>
          </val>
        </ser>
        <ser>
          <idx val="4"/>
          <order val="4"/>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Model'!$H$34</f>
            </numRef>
          </val>
        </ser>
        <ser>
          <idx val="5"/>
          <order val="5"/>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Model'!$I$34</f>
            </numRef>
          </val>
        </ser>
        <ser>
          <idx val="6"/>
          <order val="6"/>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Model'!$J$34</f>
            </numRef>
          </val>
        </ser>
        <ser>
          <idx val="7"/>
          <order val="7"/>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Model'!$K$34</f>
            </numRef>
          </val>
        </ser>
        <ser>
          <idx val="8"/>
          <order val="8"/>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Model'!$L$34</f>
            </numRef>
          </val>
        </ser>
        <ser>
          <idx val="9"/>
          <order val="9"/>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Model'!$M$34</f>
            </numRef>
          </val>
        </ser>
        <ser>
          <idx val="10"/>
          <order val="10"/>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Model'!$N$34</f>
            </numRef>
          </val>
        </ser>
        <ser>
          <idx val="11"/>
          <order val="11"/>
          <spPr>
            <a:ln xmlns:a="http://schemas.openxmlformats.org/drawingml/2006/main">
              <a:prstDash val="solid"/>
            </a:ln>
          </spPr>
          <marker>
            <symbol val="none"/>
            <spPr>
              <a:ln xmlns:a="http://schemas.openxmlformats.org/drawingml/2006/main">
                <a:prstDash val="solid"/>
              </a:ln>
            </spPr>
          </marker>
          <cat>
            <numRef>
              <f>'Executive AI Model'!$D$23:$O$23</f>
            </numRef>
          </cat>
          <val>
            <numRef>
              <f>'Executive AI Model'!$O$34</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Annual Cash Burn</a:t>
            </a:r>
          </a:p>
        </rich>
      </tx>
    </title>
    <plotArea>
      <barChart>
        <barDir val="col"/>
        <grouping val="clustered"/>
        <ser>
          <idx val="0"/>
          <order val="0"/>
          <spPr>
            <a:ln xmlns:a="http://schemas.openxmlformats.org/drawingml/2006/main">
              <a:prstDash val="solid"/>
            </a:ln>
          </spPr>
          <cat>
            <numRef>
              <f>'Executive AI Model'!$Q$23:$Z$23</f>
            </numRef>
          </cat>
          <val>
            <numRef>
              <f>'Executive AI Model'!$Q$35</f>
            </numRef>
          </val>
        </ser>
        <ser>
          <idx val="1"/>
          <order val="1"/>
          <spPr>
            <a:ln xmlns:a="http://schemas.openxmlformats.org/drawingml/2006/main">
              <a:prstDash val="solid"/>
            </a:ln>
          </spPr>
          <cat>
            <numRef>
              <f>'Executive AI Model'!$Q$23:$Z$23</f>
            </numRef>
          </cat>
          <val>
            <numRef>
              <f>'Executive AI Model'!$R$35</f>
            </numRef>
          </val>
        </ser>
        <ser>
          <idx val="2"/>
          <order val="2"/>
          <spPr>
            <a:ln xmlns:a="http://schemas.openxmlformats.org/drawingml/2006/main">
              <a:prstDash val="solid"/>
            </a:ln>
          </spPr>
          <cat>
            <numRef>
              <f>'Executive AI Model'!$Q$23:$Z$23</f>
            </numRef>
          </cat>
          <val>
            <numRef>
              <f>'Executive AI Model'!$S$35</f>
            </numRef>
          </val>
        </ser>
        <ser>
          <idx val="3"/>
          <order val="3"/>
          <spPr>
            <a:ln xmlns:a="http://schemas.openxmlformats.org/drawingml/2006/main">
              <a:prstDash val="solid"/>
            </a:ln>
          </spPr>
          <cat>
            <numRef>
              <f>'Executive AI Model'!$Q$23:$Z$23</f>
            </numRef>
          </cat>
          <val>
            <numRef>
              <f>'Executive AI Model'!$T$35</f>
            </numRef>
          </val>
        </ser>
        <ser>
          <idx val="4"/>
          <order val="4"/>
          <spPr>
            <a:ln xmlns:a="http://schemas.openxmlformats.org/drawingml/2006/main">
              <a:prstDash val="solid"/>
            </a:ln>
          </spPr>
          <cat>
            <numRef>
              <f>'Executive AI Model'!$Q$23:$Z$23</f>
            </numRef>
          </cat>
          <val>
            <numRef>
              <f>'Executive AI Model'!$U$35</f>
            </numRef>
          </val>
        </ser>
        <ser>
          <idx val="5"/>
          <order val="5"/>
          <spPr>
            <a:ln xmlns:a="http://schemas.openxmlformats.org/drawingml/2006/main">
              <a:prstDash val="solid"/>
            </a:ln>
          </spPr>
          <cat>
            <numRef>
              <f>'Executive AI Model'!$Q$23:$Z$23</f>
            </numRef>
          </cat>
          <val>
            <numRef>
              <f>'Executive AI Model'!$V$35</f>
            </numRef>
          </val>
        </ser>
        <ser>
          <idx val="6"/>
          <order val="6"/>
          <spPr>
            <a:ln xmlns:a="http://schemas.openxmlformats.org/drawingml/2006/main">
              <a:prstDash val="solid"/>
            </a:ln>
          </spPr>
          <cat>
            <numRef>
              <f>'Executive AI Model'!$Q$23:$Z$23</f>
            </numRef>
          </cat>
          <val>
            <numRef>
              <f>'Executive AI Model'!$W$35</f>
            </numRef>
          </val>
        </ser>
        <ser>
          <idx val="7"/>
          <order val="7"/>
          <spPr>
            <a:ln xmlns:a="http://schemas.openxmlformats.org/drawingml/2006/main">
              <a:prstDash val="solid"/>
            </a:ln>
          </spPr>
          <cat>
            <numRef>
              <f>'Executive AI Model'!$Q$23:$Z$23</f>
            </numRef>
          </cat>
          <val>
            <numRef>
              <f>'Executive AI Model'!$X$35</f>
            </numRef>
          </val>
        </ser>
        <ser>
          <idx val="8"/>
          <order val="8"/>
          <spPr>
            <a:ln xmlns:a="http://schemas.openxmlformats.org/drawingml/2006/main">
              <a:prstDash val="solid"/>
            </a:ln>
          </spPr>
          <cat>
            <numRef>
              <f>'Executive AI Model'!$Q$23:$Z$23</f>
            </numRef>
          </cat>
          <val>
            <numRef>
              <f>'Executive AI Model'!$Y$35</f>
            </numRef>
          </val>
        </ser>
        <ser>
          <idx val="9"/>
          <order val="9"/>
          <spPr>
            <a:ln xmlns:a="http://schemas.openxmlformats.org/drawingml/2006/main">
              <a:prstDash val="solid"/>
            </a:ln>
          </spPr>
          <cat>
            <numRef>
              <f>'Executive AI Model'!$Q$23:$Z$23</f>
            </numRef>
          </cat>
          <val>
            <numRef>
              <f>'Executive AI Model'!$Z$35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Codex</author>
  </authors>
  <commentList>
    <comment ref="B5" authorId="0" shapeId="0">
      <text>
        <t>Cash on hand at the start of Month 1.</t>
      </text>
    </comment>
    <comment ref="B6" authorId="0" shapeId="0">
      <text>
        <t>Current annual recurring revenue run-rate.</t>
      </text>
    </comment>
    <comment ref="B7" authorId="0" shapeId="0">
      <text>
        <t>Expected ARR growth over the next 12 months.</t>
      </text>
    </comment>
    <comment ref="B8" authorId="0" shapeId="0">
      <text>
        <t>Revenue retained after cost of service / delivery.</t>
      </text>
    </comment>
    <comment ref="B9" authorId="0" shapeId="0">
      <text>
        <t>Current fully loaded team size.</t>
      </text>
    </comment>
    <comment ref="B10" authorId="0" shapeId="0">
      <text>
        <t>Net hiring plan spread evenly across Year 1.</t>
      </text>
    </comment>
    <comment ref="B11" authorId="0" shapeId="0">
      <text>
        <t>Salary, benefits, payroll taxes, and overhead per employee.</t>
      </text>
    </comment>
    <comment ref="B12" authorId="0" shapeId="0">
      <text>
        <t>Cloud inference, model training, data tooling, and vendor spend.</t>
      </text>
    </comment>
    <comment ref="B13" authorId="0" shapeId="0">
      <text>
        <t>Sales, G&amp;A, support, and other non-payroll operating costs.</t>
      </text>
    </comment>
    <comment ref="B14" authorId="0" shapeId="0">
      <text>
        <t>Discount rate used in the DCF.</t>
      </text>
    </comment>
  </commentList>
</comments>
</file>

<file path=xl/comments/comment2.xml><?xml version="1.0" encoding="utf-8"?>
<comments xmlns="http://schemas.openxmlformats.org/spreadsheetml/2006/main">
  <authors>
    <author>None</author>
  </authors>
  <commentList>
    <comment ref="D33" authorId="0" shapeId="0">
      <text>
        <t>+rnorris@fitbit.com is this something that's covered in other budgets?
	-Ryan Krems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38</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38</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file:///G:\My%20Drive\M&amp;A\Delta\HC%20Costs%20Copy%20of%20Delta%20Comp%20v2-%209.27.19%20-%20Sent%20to%20Casper.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28">
          <cell r="A28">
            <v>14</v>
          </cell>
        </row>
        <row r="30">
          <cell r="G30">
            <v>898353.29532264546</v>
          </cell>
        </row>
        <row r="32">
          <cell r="K32">
            <v>111820.30383040616</v>
          </cell>
        </row>
        <row r="37">
          <cell r="N37">
            <v>56599.5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file:///D:\DOCUMENTS\backup\misc\AppData\Local\Microsoft\Windows\INetCache\Content.Outlook\L1IN61IE\HC%20Costs%20Copy%20of%20Delta%20Comp%20v2-%209.27.19%20-%20Sent%20to%20Casper.xlsx" TargetMode="External" Id="rId1"/></Relationships>
</file>

<file path=xl/worksheets/_rels/sheet3.xml.rels><Relationships xmlns="http://schemas.openxmlformats.org/package/2006/relationships"><Relationship Type="http://schemas.openxmlformats.org/officeDocument/2006/relationships/hyperlink" Target="file:///D:\DOCUMENTS\backup\misc\AppData\Local\Microsoft\Windows\INetCache\Content.Outlook\L1IN61IE\HC%20Costs%20Copy%20of%20Delta%20Comp%20v2-%209.27.19%20-%20Sent%20to%20Casper.xlsx" TargetMode="External" Id="rId1"/></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58"/>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4" customWidth="1" style="802" min="1" max="1"/>
    <col width="16" customWidth="1" style="802" min="2" max="2"/>
    <col width="4" customWidth="1" style="802" min="3" max="3"/>
    <col width="11" customWidth="1" style="802" min="4" max="4"/>
    <col width="3" customWidth="1" style="802" min="5" max="5"/>
    <col width="11" customWidth="1" style="802" min="6" max="6"/>
    <col width="11" customWidth="1" style="802" min="7" max="7"/>
    <col width="11" customWidth="1" style="802" min="8" max="8"/>
    <col width="11" customWidth="1" style="802" min="9" max="9"/>
    <col width="11" customWidth="1" style="802" min="10" max="10"/>
    <col width="11" customWidth="1" style="802" min="11" max="11"/>
    <col width="11" customWidth="1" style="802" min="12" max="12"/>
    <col width="11" customWidth="1" style="802" min="13" max="13"/>
    <col width="11" customWidth="1" style="802" min="14" max="14"/>
    <col width="11" customWidth="1" style="802" min="15" max="15"/>
    <col width="24" customWidth="1" style="802" min="16" max="16"/>
    <col width="11" customWidth="1" style="802" min="17" max="17"/>
    <col width="11" customWidth="1" style="802" min="18" max="18"/>
    <col width="11" customWidth="1" style="802" min="19" max="19"/>
    <col width="11" customWidth="1" style="802" min="20" max="20"/>
    <col width="11" customWidth="1" style="802" min="21" max="21"/>
    <col width="11" customWidth="1" style="802" min="22" max="22"/>
    <col width="11" customWidth="1" style="802" min="23" max="23"/>
    <col width="11" customWidth="1" style="802" min="24" max="24"/>
    <col width="11" customWidth="1" style="802" min="25" max="25"/>
    <col width="11" customWidth="1" style="802" min="26" max="26"/>
  </cols>
  <sheetData>
    <row r="1" ht="28" customHeight="1" s="802">
      <c r="A1" s="806" t="inlineStr">
        <is>
          <t>AI Startup Executive Cost Model</t>
        </is>
      </c>
    </row>
    <row r="2" ht="22" customHeight="1" s="802">
      <c r="A2" s="807" t="inlineStr">
        <is>
          <t>Simple front sheet for CFO and technical executives. Edit blue-font inputs only. Green-font cells are formula-driven.</t>
        </is>
      </c>
    </row>
    <row r="3" ht="22" customHeight="1" s="802"/>
    <row r="4" ht="22" customHeight="1" s="802">
      <c r="A4" s="808" t="inlineStr">
        <is>
          <t>1. Core Inputs</t>
        </is>
      </c>
      <c r="D4" s="809" t="inlineStr">
        <is>
          <t>Executive Snapshot</t>
        </is>
      </c>
      <c r="E4" s="810" t="n"/>
      <c r="F4" s="810" t="n"/>
      <c r="H4" s="811" t="inlineStr">
        <is>
          <t>Hidden model logic keeps the interface lean:
1. Revenue grows monthly in Year 1 from the starting ARR.
2. Net hires ramp evenly through the first 12 months.
3. Years 2-10 revenue growth fades linearly to terminal growth.
4. Post-Year-1 headcount scales at 40% of revenue growth.
5. Cash taxes apply only when operating profit is positive.</t>
        </is>
      </c>
    </row>
    <row r="5" ht="22" customHeight="1" s="802">
      <c r="A5" s="812" t="inlineStr">
        <is>
          <t>Starting cash ($)</t>
        </is>
      </c>
      <c r="B5" s="813" t="n">
        <v>7500000</v>
      </c>
      <c r="D5" s="814" t="inlineStr">
        <is>
          <t>Year 1 Revenue</t>
        </is>
      </c>
      <c r="E5" s="815" t="n"/>
      <c r="F5" s="816">
        <f>Q24</f>
        <v/>
      </c>
    </row>
    <row r="6" ht="22" customHeight="1" s="802">
      <c r="A6" s="812" t="inlineStr">
        <is>
          <t>Starting ARR ($)</t>
        </is>
      </c>
      <c r="B6" s="813" t="n">
        <v>6000000</v>
      </c>
      <c r="D6" s="814" t="inlineStr">
        <is>
          <t>Year 1 Cash Burn</t>
        </is>
      </c>
      <c r="E6" s="815" t="n"/>
      <c r="F6" s="816">
        <f>Q35</f>
        <v/>
      </c>
    </row>
    <row r="7" ht="22" customHeight="1" s="802">
      <c r="A7" s="812" t="inlineStr">
        <is>
          <t>Year 1 ARR growth</t>
        </is>
      </c>
      <c r="B7" s="817" t="n">
        <v>0.6</v>
      </c>
      <c r="D7" s="814" t="inlineStr">
        <is>
          <t>Year 1 Operating Profit</t>
        </is>
      </c>
      <c r="E7" s="815" t="n"/>
      <c r="F7" s="816">
        <f>Q31</f>
        <v/>
      </c>
    </row>
    <row r="8" ht="22" customHeight="1" s="802">
      <c r="A8" s="812" t="inlineStr">
        <is>
          <t>Gross margin</t>
        </is>
      </c>
      <c r="B8" s="817" t="n">
        <v>0.72</v>
      </c>
      <c r="D8" s="814" t="inlineStr">
        <is>
          <t>Ending Cash After 12 Months</t>
        </is>
      </c>
      <c r="E8" s="815" t="n"/>
      <c r="F8" s="816">
        <f>O35</f>
        <v/>
      </c>
    </row>
    <row r="9" ht="22" customHeight="1" s="802">
      <c r="A9" s="812" t="inlineStr">
        <is>
          <t>Starting headcount</t>
        </is>
      </c>
      <c r="B9" s="818" t="n">
        <v>28</v>
      </c>
      <c r="D9" s="814" t="inlineStr">
        <is>
          <t>DCF Enterprise Value</t>
        </is>
      </c>
      <c r="E9" s="815" t="n"/>
      <c r="F9" s="816">
        <f>IF($B$14&lt;=$B$17,"n/a",SUM(Q38:Z38)+((Z34*(1+$B$17))/($B$14-$B$17))*Z37)</f>
        <v/>
      </c>
    </row>
    <row r="10" ht="22" customHeight="1" s="802">
      <c r="A10" s="812" t="inlineStr">
        <is>
          <t>Planned net new hires in next 12 months</t>
        </is>
      </c>
      <c r="B10" s="818" t="n">
        <v>12</v>
      </c>
      <c r="D10" s="819" t="inlineStr">
        <is>
          <t>Year 10 Revenue</t>
        </is>
      </c>
      <c r="E10" s="820" t="n"/>
      <c r="F10" s="821">
        <f>Z24</f>
        <v/>
      </c>
    </row>
    <row r="11" ht="22" customHeight="1" s="802">
      <c r="A11" s="812" t="inlineStr">
        <is>
          <t>Annual fully loaded cost per FTE ($)</t>
        </is>
      </c>
      <c r="B11" s="813" t="n">
        <v>210000</v>
      </c>
    </row>
    <row r="12" ht="22" customHeight="1" s="802">
      <c r="A12" s="812" t="inlineStr">
        <is>
          <t>AI infra + tooling as % of revenue</t>
        </is>
      </c>
      <c r="B12" s="817" t="n">
        <v>0.14</v>
      </c>
    </row>
    <row r="13" ht="22" customHeight="1" s="802">
      <c r="A13" s="812" t="inlineStr">
        <is>
          <t>Other operating costs as % of revenue</t>
        </is>
      </c>
      <c r="B13" s="817" t="n">
        <v>0.18</v>
      </c>
    </row>
    <row r="14" ht="22" customHeight="1" s="802">
      <c r="A14" s="812" t="inlineStr">
        <is>
          <t>Discount rate</t>
        </is>
      </c>
      <c r="B14" s="817" t="n">
        <v>0.18</v>
      </c>
    </row>
    <row r="15" ht="22" customHeight="1" s="802"/>
    <row r="16" ht="22" customHeight="1" s="802">
      <c r="A16" s="822" t="inlineStr">
        <is>
          <t>2. Built-in Defaults</t>
        </is>
      </c>
    </row>
    <row r="17" ht="22" customHeight="1" s="802">
      <c r="A17" s="812" t="inlineStr">
        <is>
          <t>Terminal growth</t>
        </is>
      </c>
      <c r="B17" s="823" t="n">
        <v>0.03</v>
      </c>
    </row>
    <row r="18" ht="22" customHeight="1" s="802">
      <c r="A18" s="812" t="inlineStr">
        <is>
          <t>Cash tax rate</t>
        </is>
      </c>
      <c r="B18" s="823" t="n">
        <v>0.25</v>
      </c>
    </row>
    <row r="19" ht="22" customHeight="1" s="802">
      <c r="A19" s="812" t="inlineStr">
        <is>
          <t>Capex as % of revenue</t>
        </is>
      </c>
      <c r="B19" s="823" t="n">
        <v>0.03</v>
      </c>
    </row>
    <row r="20" ht="22" customHeight="1" s="802">
      <c r="A20" s="812" t="inlineStr">
        <is>
          <t>Headcount growth factor vs. revenue growth</t>
        </is>
      </c>
      <c r="B20" s="823" t="n">
        <v>0.4</v>
      </c>
    </row>
    <row r="21" ht="22" customHeight="1" s="802">
      <c r="A21" s="812" t="inlineStr">
        <is>
          <t>Annual payroll inflation</t>
        </is>
      </c>
      <c r="B21" s="823" t="n">
        <v>0.03</v>
      </c>
    </row>
    <row r="22" ht="22" customHeight="1" s="802">
      <c r="A22" s="808" t="inlineStr">
        <is>
          <t>3. Monthly Cash Burn: Next 12 Months</t>
        </is>
      </c>
      <c r="Q22" s="808" t="inlineStr">
        <is>
          <t>4. Annual View: Years 1-10</t>
        </is>
      </c>
    </row>
    <row r="23" ht="22" customHeight="1" s="802">
      <c r="A23" s="810" t="n"/>
      <c r="B23" s="810" t="n"/>
      <c r="C23" s="810" t="n"/>
      <c r="D23" s="824">
        <f>$B$22</f>
        <v/>
      </c>
      <c r="E23" s="824">
        <f>EDATE($B$22,1)</f>
        <v/>
      </c>
      <c r="F23" s="824">
        <f>EDATE($B$22,2)</f>
        <v/>
      </c>
      <c r="G23" s="824">
        <f>EDATE($B$22,3)</f>
        <v/>
      </c>
      <c r="H23" s="824">
        <f>EDATE($B$22,4)</f>
        <v/>
      </c>
      <c r="I23" s="824">
        <f>EDATE($B$22,5)</f>
        <v/>
      </c>
      <c r="J23" s="824">
        <f>EDATE($B$22,6)</f>
        <v/>
      </c>
      <c r="K23" s="824">
        <f>EDATE($B$22,7)</f>
        <v/>
      </c>
      <c r="L23" s="824">
        <f>EDATE($B$22,8)</f>
        <v/>
      </c>
      <c r="M23" s="824">
        <f>EDATE($B$22,9)</f>
        <v/>
      </c>
      <c r="N23" s="824">
        <f>EDATE($B$22,10)</f>
        <v/>
      </c>
      <c r="O23" s="824">
        <f>EDATE($B$22,11)</f>
        <v/>
      </c>
      <c r="P23" s="810" t="n"/>
      <c r="Q23" s="825" t="inlineStr">
        <is>
          <t>Year 1</t>
        </is>
      </c>
      <c r="R23" s="825" t="inlineStr">
        <is>
          <t>Year 2</t>
        </is>
      </c>
      <c r="S23" s="825" t="inlineStr">
        <is>
          <t>Year 3</t>
        </is>
      </c>
      <c r="T23" s="825" t="inlineStr">
        <is>
          <t>Year 4</t>
        </is>
      </c>
      <c r="U23" s="825" t="inlineStr">
        <is>
          <t>Year 5</t>
        </is>
      </c>
      <c r="V23" s="825" t="inlineStr">
        <is>
          <t>Year 6</t>
        </is>
      </c>
      <c r="W23" s="825" t="inlineStr">
        <is>
          <t>Year 7</t>
        </is>
      </c>
      <c r="X23" s="825" t="inlineStr">
        <is>
          <t>Year 8</t>
        </is>
      </c>
      <c r="Y23" s="825" t="inlineStr">
        <is>
          <t>Year 9</t>
        </is>
      </c>
      <c r="Z23" s="825" t="inlineStr">
        <is>
          <t>Year 10</t>
        </is>
      </c>
    </row>
    <row r="24" ht="22" customHeight="1" s="802">
      <c r="A24" s="826" t="inlineStr">
        <is>
          <t>Revenue</t>
        </is>
      </c>
      <c r="B24" s="815" t="n"/>
      <c r="C24" s="815" t="n"/>
      <c r="D24" s="827">
        <f>$B$6/12</f>
        <v/>
      </c>
      <c r="E24" s="827">
        <f>D24*(1+(1+$B$7)^(1/12)-1)</f>
        <v/>
      </c>
      <c r="F24" s="827">
        <f>E24*(1+(1+$B$7)^(1/12)-1)</f>
        <v/>
      </c>
      <c r="G24" s="827">
        <f>F24*(1+(1+$B$7)^(1/12)-1)</f>
        <v/>
      </c>
      <c r="H24" s="827">
        <f>G24*(1+(1+$B$7)^(1/12)-1)</f>
        <v/>
      </c>
      <c r="I24" s="827">
        <f>H24*(1+(1+$B$7)^(1/12)-1)</f>
        <v/>
      </c>
      <c r="J24" s="827">
        <f>I24*(1+(1+$B$7)^(1/12)-1)</f>
        <v/>
      </c>
      <c r="K24" s="827">
        <f>J24*(1+(1+$B$7)^(1/12)-1)</f>
        <v/>
      </c>
      <c r="L24" s="827">
        <f>K24*(1+(1+$B$7)^(1/12)-1)</f>
        <v/>
      </c>
      <c r="M24" s="827">
        <f>L24*(1+(1+$B$7)^(1/12)-1)</f>
        <v/>
      </c>
      <c r="N24" s="827">
        <f>M24*(1+(1+$B$7)^(1/12)-1)</f>
        <v/>
      </c>
      <c r="O24" s="827">
        <f>N24*(1+(1+$B$7)^(1/12)-1)</f>
        <v/>
      </c>
      <c r="P24" s="826" t="inlineStr">
        <is>
          <t>Revenue</t>
        </is>
      </c>
      <c r="Q24" s="827">
        <f>SUM(D24:O24)</f>
        <v/>
      </c>
      <c r="R24" s="827">
        <f>Q24*(1+R25)</f>
        <v/>
      </c>
      <c r="S24" s="827">
        <f>R24*(1+S25)</f>
        <v/>
      </c>
      <c r="T24" s="827">
        <f>S24*(1+T25)</f>
        <v/>
      </c>
      <c r="U24" s="827">
        <f>T24*(1+U25)</f>
        <v/>
      </c>
      <c r="V24" s="827">
        <f>U24*(1+V25)</f>
        <v/>
      </c>
      <c r="W24" s="827">
        <f>V24*(1+W25)</f>
        <v/>
      </c>
      <c r="X24" s="827">
        <f>W24*(1+X25)</f>
        <v/>
      </c>
      <c r="Y24" s="827">
        <f>X24*(1+Y25)</f>
        <v/>
      </c>
      <c r="Z24" s="827">
        <f>Y24*(1+Z25)</f>
        <v/>
      </c>
    </row>
    <row r="25" ht="22" customHeight="1" s="802">
      <c r="A25" s="826" t="inlineStr">
        <is>
          <t>Gross Profit</t>
        </is>
      </c>
      <c r="B25" s="815" t="n"/>
      <c r="C25" s="815" t="n"/>
      <c r="D25" s="827">
        <f>D24*$B$8</f>
        <v/>
      </c>
      <c r="E25" s="827">
        <f>E24*$B$8</f>
        <v/>
      </c>
      <c r="F25" s="827">
        <f>F24*$B$8</f>
        <v/>
      </c>
      <c r="G25" s="827">
        <f>G24*$B$8</f>
        <v/>
      </c>
      <c r="H25" s="827">
        <f>H24*$B$8</f>
        <v/>
      </c>
      <c r="I25" s="827">
        <f>I24*$B$8</f>
        <v/>
      </c>
      <c r="J25" s="827">
        <f>J24*$B$8</f>
        <v/>
      </c>
      <c r="K25" s="827">
        <f>K24*$B$8</f>
        <v/>
      </c>
      <c r="L25" s="827">
        <f>L24*$B$8</f>
        <v/>
      </c>
      <c r="M25" s="827">
        <f>M24*$B$8</f>
        <v/>
      </c>
      <c r="N25" s="827">
        <f>N24*$B$8</f>
        <v/>
      </c>
      <c r="O25" s="827">
        <f>O24*$B$8</f>
        <v/>
      </c>
      <c r="P25" s="826" t="inlineStr">
        <is>
          <t>Revenue Growth</t>
        </is>
      </c>
      <c r="Q25" s="828">
        <f>$B$7</f>
        <v/>
      </c>
      <c r="R25" s="828">
        <f>$B$7+(($B$17-$B$7)*1/9)</f>
        <v/>
      </c>
      <c r="S25" s="828">
        <f>$B$7+(($B$17-$B$7)*2/9)</f>
        <v/>
      </c>
      <c r="T25" s="828">
        <f>$B$7+(($B$17-$B$7)*3/9)</f>
        <v/>
      </c>
      <c r="U25" s="828">
        <f>$B$7+(($B$17-$B$7)*4/9)</f>
        <v/>
      </c>
      <c r="V25" s="828">
        <f>$B$7+(($B$17-$B$7)*5/9)</f>
        <v/>
      </c>
      <c r="W25" s="828">
        <f>$B$7+(($B$17-$B$7)*6/9)</f>
        <v/>
      </c>
      <c r="X25" s="828">
        <f>$B$7+(($B$17-$B$7)*7/9)</f>
        <v/>
      </c>
      <c r="Y25" s="828">
        <f>$B$7+(($B$17-$B$7)*8/9)</f>
        <v/>
      </c>
      <c r="Z25" s="828">
        <f>$B$7+(($B$17-$B$7)*9/9)</f>
        <v/>
      </c>
    </row>
    <row r="26" ht="22" customHeight="1" s="802">
      <c r="A26" s="826" t="inlineStr">
        <is>
          <t>Ending Headcount</t>
        </is>
      </c>
      <c r="B26" s="815" t="n"/>
      <c r="C26" s="815" t="n"/>
      <c r="D26" s="829">
        <f>$B$9+(1*$B$10/12)</f>
        <v/>
      </c>
      <c r="E26" s="829">
        <f>$B$9+(2*$B$10/12)</f>
        <v/>
      </c>
      <c r="F26" s="829">
        <f>$B$9+(3*$B$10/12)</f>
        <v/>
      </c>
      <c r="G26" s="829">
        <f>$B$9+(4*$B$10/12)</f>
        <v/>
      </c>
      <c r="H26" s="829">
        <f>$B$9+(5*$B$10/12)</f>
        <v/>
      </c>
      <c r="I26" s="829">
        <f>$B$9+(6*$B$10/12)</f>
        <v/>
      </c>
      <c r="J26" s="829">
        <f>$B$9+(7*$B$10/12)</f>
        <v/>
      </c>
      <c r="K26" s="829">
        <f>$B$9+(8*$B$10/12)</f>
        <v/>
      </c>
      <c r="L26" s="829">
        <f>$B$9+(9*$B$10/12)</f>
        <v/>
      </c>
      <c r="M26" s="829">
        <f>$B$9+(10*$B$10/12)</f>
        <v/>
      </c>
      <c r="N26" s="829">
        <f>$B$9+(11*$B$10/12)</f>
        <v/>
      </c>
      <c r="O26" s="829">
        <f>$B$9+(12*$B$10/12)</f>
        <v/>
      </c>
      <c r="P26" s="826" t="inlineStr">
        <is>
          <t>Gross Profit</t>
        </is>
      </c>
      <c r="Q26" s="827">
        <f>Q24*$B$8</f>
        <v/>
      </c>
      <c r="R26" s="827">
        <f>R24*$B$8</f>
        <v/>
      </c>
      <c r="S26" s="827">
        <f>S24*$B$8</f>
        <v/>
      </c>
      <c r="T26" s="827">
        <f>T24*$B$8</f>
        <v/>
      </c>
      <c r="U26" s="827">
        <f>U24*$B$8</f>
        <v/>
      </c>
      <c r="V26" s="827">
        <f>V24*$B$8</f>
        <v/>
      </c>
      <c r="W26" s="827">
        <f>W24*$B$8</f>
        <v/>
      </c>
      <c r="X26" s="827">
        <f>X24*$B$8</f>
        <v/>
      </c>
      <c r="Y26" s="827">
        <f>Y24*$B$8</f>
        <v/>
      </c>
      <c r="Z26" s="827">
        <f>Z24*$B$8</f>
        <v/>
      </c>
    </row>
    <row r="27" ht="22" customHeight="1" s="802">
      <c r="A27" s="826" t="inlineStr">
        <is>
          <t>Payroll</t>
        </is>
      </c>
      <c r="B27" s="815" t="n"/>
      <c r="C27" s="815" t="n"/>
      <c r="D27" s="827">
        <f>D26*$B$11/12</f>
        <v/>
      </c>
      <c r="E27" s="827">
        <f>E26*$B$11/12</f>
        <v/>
      </c>
      <c r="F27" s="827">
        <f>F26*$B$11/12</f>
        <v/>
      </c>
      <c r="G27" s="827">
        <f>G26*$B$11/12</f>
        <v/>
      </c>
      <c r="H27" s="827">
        <f>H26*$B$11/12</f>
        <v/>
      </c>
      <c r="I27" s="827">
        <f>I26*$B$11/12</f>
        <v/>
      </c>
      <c r="J27" s="827">
        <f>J26*$B$11/12</f>
        <v/>
      </c>
      <c r="K27" s="827">
        <f>K26*$B$11/12</f>
        <v/>
      </c>
      <c r="L27" s="827">
        <f>L26*$B$11/12</f>
        <v/>
      </c>
      <c r="M27" s="827">
        <f>M26*$B$11/12</f>
        <v/>
      </c>
      <c r="N27" s="827">
        <f>N26*$B$11/12</f>
        <v/>
      </c>
      <c r="O27" s="827">
        <f>O26*$B$11/12</f>
        <v/>
      </c>
      <c r="P27" s="826" t="inlineStr">
        <is>
          <t>Ending Headcount</t>
        </is>
      </c>
      <c r="Q27" s="829">
        <f>O26</f>
        <v/>
      </c>
      <c r="R27" s="829">
        <f>Q27*(1+MAX(R25*$B$20,0))</f>
        <v/>
      </c>
      <c r="S27" s="829">
        <f>R27*(1+MAX(S25*$B$20,0))</f>
        <v/>
      </c>
      <c r="T27" s="829">
        <f>S27*(1+MAX(T25*$B$20,0))</f>
        <v/>
      </c>
      <c r="U27" s="829">
        <f>T27*(1+MAX(U25*$B$20,0))</f>
        <v/>
      </c>
      <c r="V27" s="829">
        <f>U27*(1+MAX(V25*$B$20,0))</f>
        <v/>
      </c>
      <c r="W27" s="829">
        <f>V27*(1+MAX(W25*$B$20,0))</f>
        <v/>
      </c>
      <c r="X27" s="829">
        <f>W27*(1+MAX(X25*$B$20,0))</f>
        <v/>
      </c>
      <c r="Y27" s="829">
        <f>X27*(1+MAX(Y25*$B$20,0))</f>
        <v/>
      </c>
      <c r="Z27" s="829">
        <f>Y27*(1+MAX(Z25*$B$20,0))</f>
        <v/>
      </c>
    </row>
    <row r="28" ht="22" customHeight="1" s="802">
      <c r="A28" s="826" t="inlineStr">
        <is>
          <t>AI Infra + Tooling</t>
        </is>
      </c>
      <c r="B28" s="815" t="n"/>
      <c r="C28" s="815" t="n"/>
      <c r="D28" s="827">
        <f>D24*$B$12</f>
        <v/>
      </c>
      <c r="E28" s="827">
        <f>E24*$B$12</f>
        <v/>
      </c>
      <c r="F28" s="827">
        <f>F24*$B$12</f>
        <v/>
      </c>
      <c r="G28" s="827">
        <f>G24*$B$12</f>
        <v/>
      </c>
      <c r="H28" s="827">
        <f>H24*$B$12</f>
        <v/>
      </c>
      <c r="I28" s="827">
        <f>I24*$B$12</f>
        <v/>
      </c>
      <c r="J28" s="827">
        <f>J24*$B$12</f>
        <v/>
      </c>
      <c r="K28" s="827">
        <f>K24*$B$12</f>
        <v/>
      </c>
      <c r="L28" s="827">
        <f>L24*$B$12</f>
        <v/>
      </c>
      <c r="M28" s="827">
        <f>M24*$B$12</f>
        <v/>
      </c>
      <c r="N28" s="827">
        <f>N24*$B$12</f>
        <v/>
      </c>
      <c r="O28" s="827">
        <f>O24*$B$12</f>
        <v/>
      </c>
      <c r="P28" s="826" t="inlineStr">
        <is>
          <t>Payroll</t>
        </is>
      </c>
      <c r="Q28" s="827">
        <f>SUM(D27:O27)</f>
        <v/>
      </c>
      <c r="R28" s="827">
        <f>R27*$B$11*(1+$B$21)^1</f>
        <v/>
      </c>
      <c r="S28" s="827">
        <f>S27*$B$11*(1+$B$21)^2</f>
        <v/>
      </c>
      <c r="T28" s="827">
        <f>T27*$B$11*(1+$B$21)^3</f>
        <v/>
      </c>
      <c r="U28" s="827">
        <f>U27*$B$11*(1+$B$21)^4</f>
        <v/>
      </c>
      <c r="V28" s="827">
        <f>V27*$B$11*(1+$B$21)^5</f>
        <v/>
      </c>
      <c r="W28" s="827">
        <f>W27*$B$11*(1+$B$21)^6</f>
        <v/>
      </c>
      <c r="X28" s="827">
        <f>X27*$B$11*(1+$B$21)^7</f>
        <v/>
      </c>
      <c r="Y28" s="827">
        <f>Y27*$B$11*(1+$B$21)^8</f>
        <v/>
      </c>
      <c r="Z28" s="827">
        <f>Z27*$B$11*(1+$B$21)^9</f>
        <v/>
      </c>
    </row>
    <row r="29" ht="22" customHeight="1" s="802">
      <c r="A29" s="826" t="inlineStr">
        <is>
          <t>Other Operating Costs</t>
        </is>
      </c>
      <c r="B29" s="815" t="n"/>
      <c r="C29" s="815" t="n"/>
      <c r="D29" s="827">
        <f>D24*$B$13</f>
        <v/>
      </c>
      <c r="E29" s="827">
        <f>E24*$B$13</f>
        <v/>
      </c>
      <c r="F29" s="827">
        <f>F24*$B$13</f>
        <v/>
      </c>
      <c r="G29" s="827">
        <f>G24*$B$13</f>
        <v/>
      </c>
      <c r="H29" s="827">
        <f>H24*$B$13</f>
        <v/>
      </c>
      <c r="I29" s="827">
        <f>I24*$B$13</f>
        <v/>
      </c>
      <c r="J29" s="827">
        <f>J24*$B$13</f>
        <v/>
      </c>
      <c r="K29" s="827">
        <f>K24*$B$13</f>
        <v/>
      </c>
      <c r="L29" s="827">
        <f>L24*$B$13</f>
        <v/>
      </c>
      <c r="M29" s="827">
        <f>M24*$B$13</f>
        <v/>
      </c>
      <c r="N29" s="827">
        <f>N24*$B$13</f>
        <v/>
      </c>
      <c r="O29" s="827">
        <f>O24*$B$13</f>
        <v/>
      </c>
      <c r="P29" s="826" t="inlineStr">
        <is>
          <t>AI Infra + Tooling</t>
        </is>
      </c>
      <c r="Q29" s="827">
        <f>Q24*$B$12</f>
        <v/>
      </c>
      <c r="R29" s="827">
        <f>R24*$B$12</f>
        <v/>
      </c>
      <c r="S29" s="827">
        <f>S24*$B$12</f>
        <v/>
      </c>
      <c r="T29" s="827">
        <f>T24*$B$12</f>
        <v/>
      </c>
      <c r="U29" s="827">
        <f>U24*$B$12</f>
        <v/>
      </c>
      <c r="V29" s="827">
        <f>V24*$B$12</f>
        <v/>
      </c>
      <c r="W29" s="827">
        <f>W24*$B$12</f>
        <v/>
      </c>
      <c r="X29" s="827">
        <f>X24*$B$12</f>
        <v/>
      </c>
      <c r="Y29" s="827">
        <f>Y24*$B$12</f>
        <v/>
      </c>
      <c r="Z29" s="827">
        <f>Z24*$B$12</f>
        <v/>
      </c>
    </row>
    <row r="30" ht="22" customHeight="1" s="802">
      <c r="A30" s="826" t="inlineStr">
        <is>
          <t>Operating Profit</t>
        </is>
      </c>
      <c r="B30" s="815" t="n"/>
      <c r="C30" s="815" t="n"/>
      <c r="D30" s="827">
        <f>D25-D27-D28-D29</f>
        <v/>
      </c>
      <c r="E30" s="827">
        <f>E25-E27-E28-E29</f>
        <v/>
      </c>
      <c r="F30" s="827">
        <f>F25-F27-F28-F29</f>
        <v/>
      </c>
      <c r="G30" s="827">
        <f>G25-G27-G28-G29</f>
        <v/>
      </c>
      <c r="H30" s="827">
        <f>H25-H27-H28-H29</f>
        <v/>
      </c>
      <c r="I30" s="827">
        <f>I25-I27-I28-I29</f>
        <v/>
      </c>
      <c r="J30" s="827">
        <f>J25-J27-J28-J29</f>
        <v/>
      </c>
      <c r="K30" s="827">
        <f>K25-K27-K28-K29</f>
        <v/>
      </c>
      <c r="L30" s="827">
        <f>L25-L27-L28-L29</f>
        <v/>
      </c>
      <c r="M30" s="827">
        <f>M25-M27-M28-M29</f>
        <v/>
      </c>
      <c r="N30" s="827">
        <f>N25-N27-N28-N29</f>
        <v/>
      </c>
      <c r="O30" s="827">
        <f>O25-O27-O28-O29</f>
        <v/>
      </c>
      <c r="P30" s="826" t="inlineStr">
        <is>
          <t>Other Operating Costs</t>
        </is>
      </c>
      <c r="Q30" s="827">
        <f>Q24*$B$13</f>
        <v/>
      </c>
      <c r="R30" s="827">
        <f>R24*$B$13</f>
        <v/>
      </c>
      <c r="S30" s="827">
        <f>S24*$B$13</f>
        <v/>
      </c>
      <c r="T30" s="827">
        <f>T24*$B$13</f>
        <v/>
      </c>
      <c r="U30" s="827">
        <f>U24*$B$13</f>
        <v/>
      </c>
      <c r="V30" s="827">
        <f>V24*$B$13</f>
        <v/>
      </c>
      <c r="W30" s="827">
        <f>W24*$B$13</f>
        <v/>
      </c>
      <c r="X30" s="827">
        <f>X24*$B$13</f>
        <v/>
      </c>
      <c r="Y30" s="827">
        <f>Y24*$B$13</f>
        <v/>
      </c>
      <c r="Z30" s="827">
        <f>Z24*$B$13</f>
        <v/>
      </c>
    </row>
    <row r="31" ht="22" customHeight="1" s="802">
      <c r="A31" s="826" t="inlineStr">
        <is>
          <t>Cash Taxes</t>
        </is>
      </c>
      <c r="B31" s="815" t="n"/>
      <c r="C31" s="815" t="n"/>
      <c r="D31" s="827">
        <f>MAX(D30,0)*$B$18</f>
        <v/>
      </c>
      <c r="E31" s="827">
        <f>MAX(E30,0)*$B$18</f>
        <v/>
      </c>
      <c r="F31" s="827">
        <f>MAX(F30,0)*$B$18</f>
        <v/>
      </c>
      <c r="G31" s="827">
        <f>MAX(G30,0)*$B$18</f>
        <v/>
      </c>
      <c r="H31" s="827">
        <f>MAX(H30,0)*$B$18</f>
        <v/>
      </c>
      <c r="I31" s="827">
        <f>MAX(I30,0)*$B$18</f>
        <v/>
      </c>
      <c r="J31" s="827">
        <f>MAX(J30,0)*$B$18</f>
        <v/>
      </c>
      <c r="K31" s="827">
        <f>MAX(K30,0)*$B$18</f>
        <v/>
      </c>
      <c r="L31" s="827">
        <f>MAX(L30,0)*$B$18</f>
        <v/>
      </c>
      <c r="M31" s="827">
        <f>MAX(M30,0)*$B$18</f>
        <v/>
      </c>
      <c r="N31" s="827">
        <f>MAX(N30,0)*$B$18</f>
        <v/>
      </c>
      <c r="O31" s="827">
        <f>MAX(O30,0)*$B$18</f>
        <v/>
      </c>
      <c r="P31" s="826" t="inlineStr">
        <is>
          <t>Operating Profit</t>
        </is>
      </c>
      <c r="Q31" s="827">
        <f>Q26-Q28-Q29-Q30</f>
        <v/>
      </c>
      <c r="R31" s="827">
        <f>R26-R28-R29-R30</f>
        <v/>
      </c>
      <c r="S31" s="827">
        <f>S26-S28-S29-S30</f>
        <v/>
      </c>
      <c r="T31" s="827">
        <f>T26-T28-T29-T30</f>
        <v/>
      </c>
      <c r="U31" s="827">
        <f>U26-U28-U29-U30</f>
        <v/>
      </c>
      <c r="V31" s="827">
        <f>V26-V28-V29-V30</f>
        <v/>
      </c>
      <c r="W31" s="827">
        <f>W26-W28-W29-W30</f>
        <v/>
      </c>
      <c r="X31" s="827">
        <f>X26-X28-X29-X30</f>
        <v/>
      </c>
      <c r="Y31" s="827">
        <f>Y26-Y28-Y29-Y30</f>
        <v/>
      </c>
      <c r="Z31" s="827">
        <f>Z26-Z28-Z29-Z30</f>
        <v/>
      </c>
    </row>
    <row r="32" ht="22" customHeight="1" s="802">
      <c r="A32" s="826" t="inlineStr">
        <is>
          <t>Capex</t>
        </is>
      </c>
      <c r="B32" s="815" t="n"/>
      <c r="C32" s="815" t="n"/>
      <c r="D32" s="827">
        <f>D24*$B$19</f>
        <v/>
      </c>
      <c r="E32" s="827">
        <f>E24*$B$19</f>
        <v/>
      </c>
      <c r="F32" s="827">
        <f>F24*$B$19</f>
        <v/>
      </c>
      <c r="G32" s="827">
        <f>G24*$B$19</f>
        <v/>
      </c>
      <c r="H32" s="827">
        <f>H24*$B$19</f>
        <v/>
      </c>
      <c r="I32" s="827">
        <f>I24*$B$19</f>
        <v/>
      </c>
      <c r="J32" s="827">
        <f>J24*$B$19</f>
        <v/>
      </c>
      <c r="K32" s="827">
        <f>K24*$B$19</f>
        <v/>
      </c>
      <c r="L32" s="827">
        <f>L24*$B$19</f>
        <v/>
      </c>
      <c r="M32" s="827">
        <f>M24*$B$19</f>
        <v/>
      </c>
      <c r="N32" s="827">
        <f>N24*$B$19</f>
        <v/>
      </c>
      <c r="O32" s="827">
        <f>O24*$B$19</f>
        <v/>
      </c>
      <c r="P32" s="826" t="inlineStr">
        <is>
          <t>Cash Taxes</t>
        </is>
      </c>
      <c r="Q32" s="827">
        <f>MAX(Q31,0)*$B$18</f>
        <v/>
      </c>
      <c r="R32" s="827">
        <f>MAX(R31,0)*$B$18</f>
        <v/>
      </c>
      <c r="S32" s="827">
        <f>MAX(S31,0)*$B$18</f>
        <v/>
      </c>
      <c r="T32" s="827">
        <f>MAX(T31,0)*$B$18</f>
        <v/>
      </c>
      <c r="U32" s="827">
        <f>MAX(U31,0)*$B$18</f>
        <v/>
      </c>
      <c r="V32" s="827">
        <f>MAX(V31,0)*$B$18</f>
        <v/>
      </c>
      <c r="W32" s="827">
        <f>MAX(W31,0)*$B$18</f>
        <v/>
      </c>
      <c r="X32" s="827">
        <f>MAX(X31,0)*$B$18</f>
        <v/>
      </c>
      <c r="Y32" s="827">
        <f>MAX(Y31,0)*$B$18</f>
        <v/>
      </c>
      <c r="Z32" s="827">
        <f>MAX(Z31,0)*$B$18</f>
        <v/>
      </c>
    </row>
    <row r="33" ht="22" customHeight="1" s="802">
      <c r="A33" s="826" t="inlineStr">
        <is>
          <t>Free Cash Flow</t>
        </is>
      </c>
      <c r="B33" s="815" t="n"/>
      <c r="C33" s="815" t="n"/>
      <c r="D33" s="827">
        <f>D30-D31-D32</f>
        <v/>
      </c>
      <c r="E33" s="827">
        <f>E30-E31-E32</f>
        <v/>
      </c>
      <c r="F33" s="827">
        <f>F30-F31-F32</f>
        <v/>
      </c>
      <c r="G33" s="827">
        <f>G30-G31-G32</f>
        <v/>
      </c>
      <c r="H33" s="827">
        <f>H30-H31-H32</f>
        <v/>
      </c>
      <c r="I33" s="827">
        <f>I30-I31-I32</f>
        <v/>
      </c>
      <c r="J33" s="827">
        <f>J30-J31-J32</f>
        <v/>
      </c>
      <c r="K33" s="827">
        <f>K30-K31-K32</f>
        <v/>
      </c>
      <c r="L33" s="827">
        <f>L30-L31-L32</f>
        <v/>
      </c>
      <c r="M33" s="827">
        <f>M30-M31-M32</f>
        <v/>
      </c>
      <c r="N33" s="827">
        <f>N30-N31-N32</f>
        <v/>
      </c>
      <c r="O33" s="827">
        <f>O30-O31-O32</f>
        <v/>
      </c>
      <c r="P33" s="826" t="inlineStr">
        <is>
          <t>Capex</t>
        </is>
      </c>
      <c r="Q33" s="827">
        <f>Q24*$B$19</f>
        <v/>
      </c>
      <c r="R33" s="827">
        <f>R24*$B$19</f>
        <v/>
      </c>
      <c r="S33" s="827">
        <f>S24*$B$19</f>
        <v/>
      </c>
      <c r="T33" s="827">
        <f>T24*$B$19</f>
        <v/>
      </c>
      <c r="U33" s="827">
        <f>U24*$B$19</f>
        <v/>
      </c>
      <c r="V33" s="827">
        <f>V24*$B$19</f>
        <v/>
      </c>
      <c r="W33" s="827">
        <f>W24*$B$19</f>
        <v/>
      </c>
      <c r="X33" s="827">
        <f>X24*$B$19</f>
        <v/>
      </c>
      <c r="Y33" s="827">
        <f>Y24*$B$19</f>
        <v/>
      </c>
      <c r="Z33" s="827">
        <f>Z24*$B$19</f>
        <v/>
      </c>
    </row>
    <row r="34" ht="22" customHeight="1" s="802">
      <c r="A34" s="826" t="inlineStr">
        <is>
          <t>Cash Burn</t>
        </is>
      </c>
      <c r="B34" s="815" t="n"/>
      <c r="C34" s="815" t="n"/>
      <c r="D34" s="827">
        <f>MAX(-D33,0)</f>
        <v/>
      </c>
      <c r="E34" s="827">
        <f>MAX(-E33,0)</f>
        <v/>
      </c>
      <c r="F34" s="827">
        <f>MAX(-F33,0)</f>
        <v/>
      </c>
      <c r="G34" s="827">
        <f>MAX(-G33,0)</f>
        <v/>
      </c>
      <c r="H34" s="827">
        <f>MAX(-H33,0)</f>
        <v/>
      </c>
      <c r="I34" s="827">
        <f>MAX(-I33,0)</f>
        <v/>
      </c>
      <c r="J34" s="827">
        <f>MAX(-J33,0)</f>
        <v/>
      </c>
      <c r="K34" s="827">
        <f>MAX(-K33,0)</f>
        <v/>
      </c>
      <c r="L34" s="827">
        <f>MAX(-L33,0)</f>
        <v/>
      </c>
      <c r="M34" s="827">
        <f>MAX(-M33,0)</f>
        <v/>
      </c>
      <c r="N34" s="827">
        <f>MAX(-N33,0)</f>
        <v/>
      </c>
      <c r="O34" s="827">
        <f>MAX(-O33,0)</f>
        <v/>
      </c>
      <c r="P34" s="826" t="inlineStr">
        <is>
          <t>Free Cash Flow</t>
        </is>
      </c>
      <c r="Q34" s="827">
        <f>Q31-Q32-Q33</f>
        <v/>
      </c>
      <c r="R34" s="827">
        <f>R31-R32-R33</f>
        <v/>
      </c>
      <c r="S34" s="827">
        <f>S31-S32-S33</f>
        <v/>
      </c>
      <c r="T34" s="827">
        <f>T31-T32-T33</f>
        <v/>
      </c>
      <c r="U34" s="827">
        <f>U31-U32-U33</f>
        <v/>
      </c>
      <c r="V34" s="827">
        <f>V31-V32-V33</f>
        <v/>
      </c>
      <c r="W34" s="827">
        <f>W31-W32-W33</f>
        <v/>
      </c>
      <c r="X34" s="827">
        <f>X31-X32-X33</f>
        <v/>
      </c>
      <c r="Y34" s="827">
        <f>Y31-Y32-Y33</f>
        <v/>
      </c>
      <c r="Z34" s="827">
        <f>Z31-Z32-Z33</f>
        <v/>
      </c>
    </row>
    <row r="35" ht="22" customHeight="1" s="802">
      <c r="A35" s="830" t="inlineStr">
        <is>
          <t>Ending Cash</t>
        </is>
      </c>
      <c r="B35" s="820" t="n"/>
      <c r="C35" s="820" t="n"/>
      <c r="D35" s="831">
        <f>$B$5+D33</f>
        <v/>
      </c>
      <c r="E35" s="831">
        <f>D35+E33</f>
        <v/>
      </c>
      <c r="F35" s="831">
        <f>E35+F33</f>
        <v/>
      </c>
      <c r="G35" s="831">
        <f>F35+G33</f>
        <v/>
      </c>
      <c r="H35" s="831">
        <f>G35+H33</f>
        <v/>
      </c>
      <c r="I35" s="831">
        <f>H35+I33</f>
        <v/>
      </c>
      <c r="J35" s="831">
        <f>I35+J33</f>
        <v/>
      </c>
      <c r="K35" s="831">
        <f>J35+K33</f>
        <v/>
      </c>
      <c r="L35" s="831">
        <f>K35+L33</f>
        <v/>
      </c>
      <c r="M35" s="831">
        <f>L35+M33</f>
        <v/>
      </c>
      <c r="N35" s="831">
        <f>M35+N33</f>
        <v/>
      </c>
      <c r="O35" s="831">
        <f>N35+O33</f>
        <v/>
      </c>
      <c r="P35" s="826" t="inlineStr">
        <is>
          <t>Cash Burn</t>
        </is>
      </c>
      <c r="Q35" s="827">
        <f>MAX(-Q34,0)</f>
        <v/>
      </c>
      <c r="R35" s="827">
        <f>MAX(-R34,0)</f>
        <v/>
      </c>
      <c r="S35" s="827">
        <f>MAX(-S34,0)</f>
        <v/>
      </c>
      <c r="T35" s="827">
        <f>MAX(-T34,0)</f>
        <v/>
      </c>
      <c r="U35" s="827">
        <f>MAX(-U34,0)</f>
        <v/>
      </c>
      <c r="V35" s="827">
        <f>MAX(-V34,0)</f>
        <v/>
      </c>
      <c r="W35" s="827">
        <f>MAX(-W34,0)</f>
        <v/>
      </c>
      <c r="X35" s="827">
        <f>MAX(-X34,0)</f>
        <v/>
      </c>
      <c r="Y35" s="827">
        <f>MAX(-Y34,0)</f>
        <v/>
      </c>
      <c r="Z35" s="827">
        <f>MAX(-Z34,0)</f>
        <v/>
      </c>
    </row>
    <row r="36" ht="22" customHeight="1" s="802">
      <c r="P36" s="826" t="inlineStr">
        <is>
          <t>Ending Cash</t>
        </is>
      </c>
      <c r="Q36" s="827">
        <f>O35</f>
        <v/>
      </c>
      <c r="R36" s="827">
        <f>Q36+R34</f>
        <v/>
      </c>
      <c r="S36" s="827">
        <f>R36+S34</f>
        <v/>
      </c>
      <c r="T36" s="827">
        <f>S36+T34</f>
        <v/>
      </c>
      <c r="U36" s="827">
        <f>T36+U34</f>
        <v/>
      </c>
      <c r="V36" s="827">
        <f>U36+V34</f>
        <v/>
      </c>
      <c r="W36" s="827">
        <f>V36+W34</f>
        <v/>
      </c>
      <c r="X36" s="827">
        <f>W36+X34</f>
        <v/>
      </c>
      <c r="Y36" s="827">
        <f>X36+Y34</f>
        <v/>
      </c>
      <c r="Z36" s="827">
        <f>Y36+Z34</f>
        <v/>
      </c>
    </row>
    <row r="37" ht="22" customHeight="1" s="802">
      <c r="P37" s="826" t="inlineStr">
        <is>
          <t>Discount Factor</t>
        </is>
      </c>
      <c r="Q37" s="828">
        <f>1/(1+$B$14)^1</f>
        <v/>
      </c>
      <c r="R37" s="828">
        <f>1/(1+$B$14)^2</f>
        <v/>
      </c>
      <c r="S37" s="828">
        <f>1/(1+$B$14)^3</f>
        <v/>
      </c>
      <c r="T37" s="828">
        <f>1/(1+$B$14)^4</f>
        <v/>
      </c>
      <c r="U37" s="828">
        <f>1/(1+$B$14)^5</f>
        <v/>
      </c>
      <c r="V37" s="828">
        <f>1/(1+$B$14)^6</f>
        <v/>
      </c>
      <c r="W37" s="828">
        <f>1/(1+$B$14)^7</f>
        <v/>
      </c>
      <c r="X37" s="828">
        <f>1/(1+$B$14)^8</f>
        <v/>
      </c>
      <c r="Y37" s="828">
        <f>1/(1+$B$14)^9</f>
        <v/>
      </c>
      <c r="Z37" s="828">
        <f>1/(1+$B$14)^10</f>
        <v/>
      </c>
    </row>
    <row r="38" ht="22" customHeight="1" s="802">
      <c r="A38" s="808" t="inlineStr">
        <is>
          <t>5. Visuals</t>
        </is>
      </c>
      <c r="P38" s="830" t="inlineStr">
        <is>
          <t>PV of Free Cash Flow</t>
        </is>
      </c>
      <c r="Q38" s="831">
        <f>Q34*Q37</f>
        <v/>
      </c>
      <c r="R38" s="831">
        <f>R34*R37</f>
        <v/>
      </c>
      <c r="S38" s="831">
        <f>S34*S37</f>
        <v/>
      </c>
      <c r="T38" s="831">
        <f>T34*T37</f>
        <v/>
      </c>
      <c r="U38" s="831">
        <f>U34*U37</f>
        <v/>
      </c>
      <c r="V38" s="831">
        <f>V34*V37</f>
        <v/>
      </c>
      <c r="W38" s="831">
        <f>W34*W37</f>
        <v/>
      </c>
      <c r="X38" s="831">
        <f>X34*X37</f>
        <v/>
      </c>
      <c r="Y38" s="831">
        <f>Y34*Y37</f>
        <v/>
      </c>
      <c r="Z38" s="831">
        <f>Z34*Z37</f>
        <v/>
      </c>
    </row>
    <row r="39" ht="22" customHeight="1" s="802"/>
    <row r="40" ht="22" customHeight="1" s="802"/>
    <row r="41" ht="22" customHeight="1" s="802"/>
    <row r="42" ht="22" customHeight="1" s="802"/>
    <row r="43" ht="22" customHeight="1" s="802"/>
    <row r="44" ht="22" customHeight="1" s="802"/>
    <row r="45" ht="22" customHeight="1" s="802"/>
    <row r="46" ht="22" customHeight="1" s="802"/>
    <row r="47" ht="22" customHeight="1" s="802"/>
    <row r="48" ht="22" customHeight="1" s="802"/>
    <row r="49" ht="22" customHeight="1" s="802"/>
    <row r="50" ht="22" customHeight="1" s="802"/>
    <row r="51" ht="22" customHeight="1" s="802"/>
    <row r="52" ht="22" customHeight="1" s="802"/>
    <row r="53" ht="22" customHeight="1" s="802"/>
    <row r="54" ht="22" customHeight="1" s="802"/>
    <row r="55" ht="22" customHeight="1" s="802">
      <c r="A55" s="811" t="inlineStr">
        <is>
          <t>Interpretation guide: Cash burn is shown as a positive number only when free cash flow is negative. Operating profit is shown before financing. DCF is based on Years 1-10 free cash flow plus a terminal value using the built-in terminal growth assumption.</t>
        </is>
      </c>
    </row>
    <row r="56" ht="22" customHeight="1" s="802"/>
    <row r="57" ht="22" customHeight="1" s="802"/>
    <row r="58" ht="22" customHeight="1" s="802"/>
    <row r="59" ht="22" customHeight="1" s="802"/>
    <row r="60" ht="22" customHeight="1" s="802"/>
    <row r="61" ht="22" customHeight="1" s="802"/>
    <row r="62" ht="22" customHeight="1" s="802"/>
    <row r="63" ht="22" customHeight="1" s="802"/>
    <row r="64" ht="22" customHeight="1" s="802"/>
    <row r="65" ht="22" customHeight="1" s="802"/>
    <row r="66" ht="22" customHeight="1" s="802"/>
    <row r="67" ht="22" customHeight="1" s="802"/>
    <row r="68" ht="22" customHeight="1" s="802"/>
    <row r="69" ht="22" customHeight="1" s="802"/>
  </sheetData>
  <mergeCells count="10">
    <mergeCell ref="A4:B4"/>
    <mergeCell ref="A55:Z58"/>
    <mergeCell ref="A16:B16"/>
    <mergeCell ref="Q22:Z22"/>
    <mergeCell ref="A1:Z1"/>
    <mergeCell ref="D4:F4"/>
    <mergeCell ref="H4:N10"/>
    <mergeCell ref="A2:Z2"/>
    <mergeCell ref="A22:O22"/>
    <mergeCell ref="A38:M38"/>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R134"/>
  <sheetViews>
    <sheetView showGridLines="0" tabSelected="1" zoomScale="115" zoomScaleNormal="115" workbookViewId="0">
      <pane xSplit="4" ySplit="10" topLeftCell="G11" activePane="bottomRight" state="frozen"/>
      <selection pane="topRight" activeCell="L1" sqref="L1"/>
      <selection pane="bottomLeft" activeCell="A5" sqref="A5"/>
      <selection pane="bottomRight" activeCell="L132" sqref="L132"/>
    </sheetView>
  </sheetViews>
  <sheetFormatPr baseColWidth="8" defaultColWidth="9.140625" defaultRowHeight="12.75" outlineLevelRow="4"/>
  <cols>
    <col width="1.5703125" customWidth="1" style="497" min="1" max="1"/>
    <col width="22.5703125" customWidth="1" style="497" min="2" max="2"/>
    <col hidden="1" outlineLevel="1" width="11.85546875" customWidth="1" style="499" min="3" max="3"/>
    <col collapsed="1" width="4.5703125" customWidth="1" style="497" min="4" max="4"/>
    <col hidden="1" outlineLevel="2" width="11.5703125" customWidth="1" style="499" min="5" max="6"/>
    <col collapsed="1" width="13.28515625" customWidth="1" style="499" min="7" max="7"/>
    <col width="13.28515625" customWidth="1" style="499" min="8" max="9"/>
    <col outlineLevel="1" width="13.28515625" customWidth="1" style="499" min="10" max="11"/>
    <col width="13.28515625" customWidth="1" style="499" min="12" max="12"/>
    <col hidden="1" outlineLevel="2" width="12.140625" customWidth="1" style="499" min="13" max="16"/>
    <col hidden="1" outlineLevel="1" width="12.5703125" customWidth="1" style="499" min="17" max="17"/>
    <col hidden="1" outlineLevel="3" width="12.140625" customWidth="1" style="499" min="18" max="21"/>
    <col hidden="1" outlineLevel="1" width="13.85546875" customWidth="1" style="499" min="22" max="22"/>
    <col hidden="1" outlineLevel="1" width="0.42578125" customWidth="1" style="499" min="23" max="23"/>
    <col hidden="1" collapsed="1" width="4.42578125" customWidth="1" style="499" min="24" max="24"/>
    <col hidden="1" outlineLevel="1" width="9.140625" customWidth="1" style="505" min="25" max="25"/>
    <col hidden="1" collapsed="1" width="16.7109375" customWidth="1" style="497" min="26" max="26"/>
    <col hidden="1" width="10.28515625" customWidth="1" style="497" min="27" max="27"/>
    <col hidden="1" width="9.140625" customWidth="1" style="497" min="28" max="28"/>
    <col hidden="1" width="0.85546875" customWidth="1" style="497" min="29" max="29"/>
    <col hidden="1" width="9.140625" customWidth="1" style="497" min="30" max="34"/>
    <col hidden="1" width="29.28515625" customWidth="1" style="497" min="35" max="35"/>
    <col hidden="1" style="497" min="36" max="38"/>
    <col width="9.140625" customWidth="1" style="497" min="39" max="16384"/>
  </cols>
  <sheetData>
    <row r="1" ht="24.95" customHeight="1" s="802" thickBot="1">
      <c r="A1" s="494" t="inlineStr">
        <is>
          <t>DELTA COST CENTRE MODEL - DRAFT&amp;CONFIDENTIAL</t>
        </is>
      </c>
      <c r="B1" s="495" t="n"/>
      <c r="U1" s="498" t="n"/>
      <c r="Y1" s="500" t="inlineStr">
        <is>
          <t>STATUS</t>
        </is>
      </c>
      <c r="AI1" s="497" t="n">
        <v>1000000</v>
      </c>
    </row>
    <row r="2" hidden="1" outlineLevel="1" ht="13.5" customHeight="1" s="802" thickBot="1">
      <c r="A2" s="494" t="n"/>
      <c r="B2" s="501" t="inlineStr">
        <is>
          <t>- Expect cash usage of $3m-$3.5m upon signing</t>
        </is>
      </c>
      <c r="C2" s="502" t="n"/>
      <c r="D2" s="503" t="n"/>
      <c r="E2" s="503" t="n"/>
      <c r="F2" s="502" t="n"/>
      <c r="G2" s="502" t="n"/>
      <c r="H2" s="502" t="n"/>
      <c r="I2" s="502" t="n"/>
      <c r="J2" s="502" t="n"/>
      <c r="K2" s="502" t="n"/>
      <c r="L2" s="502" t="n"/>
      <c r="M2" s="502" t="n"/>
      <c r="N2" s="502" t="n"/>
      <c r="O2" s="502" t="n"/>
      <c r="P2" s="502" t="n"/>
      <c r="Q2" s="502" t="n"/>
      <c r="R2" s="502" t="n"/>
      <c r="S2" s="502" t="n"/>
      <c r="T2" s="502" t="n"/>
      <c r="U2" s="504" t="n"/>
      <c r="V2" s="502" t="n"/>
      <c r="W2" s="502" t="n"/>
      <c r="Y2" s="505" t="inlineStr">
        <is>
          <t>Will Audrey be on the call later?</t>
        </is>
      </c>
      <c r="Z2" s="506" t="inlineStr">
        <is>
          <t>CHANGE TO MILLIONS</t>
        </is>
      </c>
    </row>
    <row r="3" hidden="1" outlineLevel="1" ht="13.5" customHeight="1" s="802" thickBot="1">
      <c r="A3" s="494" t="n"/>
      <c r="B3" s="507" t="inlineStr">
        <is>
          <t>- Delta is expected to add approx $3.8m to opex run - rate ($2.8m of which are headcount costs)</t>
        </is>
      </c>
      <c r="C3" s="502" t="n"/>
      <c r="D3" s="503" t="n"/>
      <c r="E3" s="502" t="n"/>
      <c r="F3" s="502" t="n"/>
      <c r="G3" s="502" t="n"/>
      <c r="H3" s="502" t="n"/>
      <c r="I3" s="502" t="n"/>
      <c r="J3" s="502" t="n"/>
      <c r="K3" s="502" t="n"/>
      <c r="L3" s="502" t="n"/>
      <c r="M3" s="502" t="n"/>
      <c r="N3" s="502" t="n"/>
      <c r="O3" s="502" t="n"/>
      <c r="P3" s="502" t="n"/>
      <c r="Q3" s="502" t="n"/>
      <c r="R3" s="502" t="n"/>
      <c r="S3" s="502" t="n"/>
      <c r="T3" s="502" t="n"/>
      <c r="U3" s="504" t="n"/>
      <c r="V3" s="502" t="n"/>
      <c r="W3" s="502" t="n"/>
    </row>
    <row r="4" hidden="1" outlineLevel="1" ht="13.5" customHeight="1" s="802" thickBot="1">
      <c r="A4" s="494" t="n"/>
      <c r="B4" s="507" t="inlineStr">
        <is>
          <t xml:space="preserve">     - Includes 14 existing heads and 14 new hires (13 engineers plus 1 product designer)</t>
        </is>
      </c>
      <c r="C4" s="502" t="n"/>
      <c r="D4" s="503" t="n"/>
      <c r="E4" s="502" t="n"/>
      <c r="F4" s="502" t="n"/>
      <c r="G4" s="502" t="n"/>
      <c r="H4" s="502" t="n"/>
      <c r="I4" s="502" t="n"/>
      <c r="J4" s="502" t="n"/>
      <c r="K4" s="502" t="n"/>
      <c r="L4" s="502" t="n"/>
      <c r="M4" s="502" t="n"/>
      <c r="N4" s="502" t="n"/>
      <c r="O4" s="502" t="n"/>
      <c r="P4" s="502" t="n"/>
      <c r="Q4" s="502" t="n"/>
      <c r="R4" s="502" t="n"/>
      <c r="S4" s="502" t="n"/>
      <c r="T4" s="502" t="n"/>
      <c r="U4" s="504" t="n"/>
      <c r="V4" s="502" t="n"/>
      <c r="W4" s="502" t="n"/>
    </row>
    <row r="5" hidden="1" outlineLevel="1" ht="16.5" customHeight="1" s="802">
      <c r="A5" s="494" t="n"/>
      <c r="B5" s="507" t="inlineStr">
        <is>
          <t xml:space="preserve">     - cost centre will roll into Jon Oakes</t>
        </is>
      </c>
      <c r="C5" s="502" t="n"/>
      <c r="D5" s="503" t="n"/>
      <c r="E5" s="502" t="n"/>
      <c r="F5" s="502" t="n"/>
      <c r="G5" s="502" t="n"/>
      <c r="H5" s="502" t="n"/>
      <c r="I5" s="502" t="n"/>
      <c r="J5" s="502" t="n"/>
      <c r="K5" s="502" t="n"/>
      <c r="L5" s="502" t="n"/>
      <c r="M5" s="502" t="n"/>
      <c r="N5" s="502" t="n"/>
      <c r="O5" s="502" t="n"/>
      <c r="P5" s="502" t="n"/>
      <c r="Q5" s="502" t="n"/>
      <c r="R5" s="502" t="n"/>
      <c r="S5" s="502" t="n"/>
      <c r="T5" s="502" t="n"/>
      <c r="U5" s="504" t="n"/>
      <c r="V5" s="502" t="n"/>
      <c r="W5" s="502" t="n"/>
    </row>
    <row r="6" hidden="1" outlineLevel="1" ht="13.5" customHeight="1" s="802" thickBot="1">
      <c r="A6" s="494" t="n"/>
      <c r="B6" s="765" t="inlineStr">
        <is>
          <t>- 1-time integration/deal costs of $900k, additional costs of $452k expected to be negotiated as part of purchase price/working capital negotiation</t>
        </is>
      </c>
    </row>
    <row r="7" hidden="1" outlineLevel="1" ht="13.5" customHeight="1" s="802" thickBot="1">
      <c r="A7" s="494" t="n"/>
      <c r="B7" s="765" t="inlineStr">
        <is>
          <t xml:space="preserve">- Founder earnout of $2.25 is not included in the p&amp;l </t>
        </is>
      </c>
      <c r="Y7" s="832" t="n"/>
    </row>
    <row r="8" hidden="1" collapsed="1" ht="16.5" customHeight="1" s="802" thickBot="1">
      <c r="A8" s="494" t="n"/>
      <c r="B8" s="495" t="n"/>
      <c r="U8" s="498" t="n"/>
    </row>
    <row r="9" ht="16.5" customFormat="1" customHeight="1" s="577" thickBot="1">
      <c r="B9" s="741" t="n"/>
      <c r="C9" s="701" t="n"/>
      <c r="D9" s="701" t="n"/>
      <c r="E9" s="833" t="inlineStr">
        <is>
          <t>2019E</t>
        </is>
      </c>
      <c r="F9" s="834" t="n"/>
      <c r="G9" s="835" t="n"/>
      <c r="H9" s="658" t="inlineStr">
        <is>
          <t>2020E</t>
        </is>
      </c>
      <c r="I9" s="658" t="n"/>
      <c r="J9" s="658" t="n"/>
      <c r="K9" s="658" t="n"/>
      <c r="L9" s="659" t="n"/>
      <c r="M9" s="768" t="n">
        <v>2021</v>
      </c>
      <c r="N9" s="834" t="n"/>
      <c r="O9" s="834" t="n"/>
      <c r="P9" s="834" t="n"/>
      <c r="Q9" s="835" t="n"/>
      <c r="R9" s="836" t="n">
        <v>2022</v>
      </c>
      <c r="S9" s="834" t="n"/>
      <c r="T9" s="834" t="n"/>
      <c r="U9" s="834" t="n"/>
      <c r="V9" s="835" t="n"/>
      <c r="W9" s="510" t="inlineStr">
        <is>
          <t>TOTAL COSTS</t>
        </is>
      </c>
      <c r="X9" s="511" t="n"/>
      <c r="Y9" s="545" t="n"/>
    </row>
    <row r="10" ht="13.5" customFormat="1" customHeight="1" s="577" thickBot="1">
      <c r="B10" s="547" t="n"/>
      <c r="C10" s="837" t="inlineStr">
        <is>
          <t>Provided by</t>
        </is>
      </c>
      <c r="D10" s="577" t="n"/>
      <c r="E10" s="699" t="inlineStr">
        <is>
          <t>Q319</t>
        </is>
      </c>
      <c r="F10" s="700" t="inlineStr">
        <is>
          <t>Q419</t>
        </is>
      </c>
      <c r="G10" s="732" t="inlineStr">
        <is>
          <t>2H19</t>
        </is>
      </c>
      <c r="H10" s="733" t="inlineStr">
        <is>
          <t>1Q20</t>
        </is>
      </c>
      <c r="I10" s="733" t="inlineStr">
        <is>
          <t>2Q20</t>
        </is>
      </c>
      <c r="J10" s="733" t="inlineStr">
        <is>
          <t>3Q20</t>
        </is>
      </c>
      <c r="K10" s="733" t="inlineStr">
        <is>
          <t>4Q20</t>
        </is>
      </c>
      <c r="L10" s="732" t="inlineStr">
        <is>
          <t>FY2020</t>
        </is>
      </c>
      <c r="M10" s="514" t="inlineStr">
        <is>
          <t>Q1</t>
        </is>
      </c>
      <c r="N10" s="514" t="inlineStr">
        <is>
          <t>Q2</t>
        </is>
      </c>
      <c r="O10" s="514" t="inlineStr">
        <is>
          <t>Q3</t>
        </is>
      </c>
      <c r="P10" s="516" t="inlineStr">
        <is>
          <t>Q4</t>
        </is>
      </c>
      <c r="Q10" s="697" t="inlineStr">
        <is>
          <t>FY</t>
        </is>
      </c>
      <c r="R10" s="698" t="inlineStr">
        <is>
          <t>Q1</t>
        </is>
      </c>
      <c r="S10" s="514" t="inlineStr">
        <is>
          <t>Q2</t>
        </is>
      </c>
      <c r="T10" s="514" t="inlineStr">
        <is>
          <t>Q3</t>
        </is>
      </c>
      <c r="U10" s="516" t="inlineStr">
        <is>
          <t>Q4</t>
        </is>
      </c>
      <c r="V10" s="697" t="inlineStr">
        <is>
          <t>FY</t>
        </is>
      </c>
      <c r="W10" s="516" t="inlineStr">
        <is>
          <t>FY 2019 - 2022</t>
        </is>
      </c>
      <c r="X10" s="535" t="n"/>
    </row>
    <row r="11" ht="17.1" customFormat="1" customHeight="1" s="577">
      <c r="B11" s="704" t="inlineStr">
        <is>
          <t xml:space="preserve">Headcount (HC): </t>
        </is>
      </c>
      <c r="C11" s="837" t="n"/>
      <c r="D11" s="577" t="n"/>
      <c r="E11" s="541" t="n"/>
      <c r="F11" s="535" t="n"/>
      <c r="G11" s="626" t="n"/>
      <c r="H11" s="535" t="n"/>
      <c r="I11" s="535" t="n"/>
      <c r="J11" s="535" t="n"/>
      <c r="K11" s="535" t="n"/>
      <c r="L11" s="626" t="n"/>
      <c r="M11" s="514" t="n"/>
      <c r="N11" s="514" t="n"/>
      <c r="O11" s="514" t="n"/>
      <c r="P11" s="514" t="n"/>
      <c r="Q11" s="514" t="n"/>
      <c r="R11" s="514" t="n"/>
      <c r="S11" s="514" t="n"/>
      <c r="T11" s="514" t="n"/>
      <c r="U11" s="514" t="n"/>
      <c r="V11" s="514" t="n"/>
      <c r="W11" s="516" t="n"/>
      <c r="X11" s="535" t="n"/>
    </row>
    <row r="12" ht="17.1" customFormat="1" customHeight="1" s="567">
      <c r="B12" s="742" t="inlineStr">
        <is>
          <t>Delta Employees</t>
        </is>
      </c>
      <c r="C12" s="518" t="n"/>
      <c r="D12" s="518" t="n"/>
      <c r="E12" s="838" t="n"/>
      <c r="F12" s="520">
        <f>[1]Sheet1!$A$28</f>
        <v/>
      </c>
      <c r="G12" s="627">
        <f>F12</f>
        <v/>
      </c>
      <c r="H12" s="520">
        <f>G12</f>
        <v/>
      </c>
      <c r="I12" s="520">
        <f>H12</f>
        <v/>
      </c>
      <c r="J12" s="520">
        <f>I12</f>
        <v/>
      </c>
      <c r="K12" s="520">
        <f>J12</f>
        <v/>
      </c>
      <c r="L12" s="627">
        <f>K12</f>
        <v/>
      </c>
      <c r="M12" s="839">
        <f>L12</f>
        <v/>
      </c>
      <c r="N12" s="839">
        <f>M12</f>
        <v/>
      </c>
      <c r="O12" s="839">
        <f>N12</f>
        <v/>
      </c>
      <c r="P12" s="839">
        <f>O12</f>
        <v/>
      </c>
      <c r="Q12" s="840">
        <f>P12</f>
        <v/>
      </c>
      <c r="R12" s="840">
        <f>Q12</f>
        <v/>
      </c>
      <c r="S12" s="839">
        <f>R12</f>
        <v/>
      </c>
      <c r="T12" s="839">
        <f>S12</f>
        <v/>
      </c>
      <c r="U12" s="839">
        <f>T12</f>
        <v/>
      </c>
      <c r="V12" s="840">
        <f>U12</f>
        <v/>
      </c>
      <c r="W12" s="841">
        <f>V12</f>
        <v/>
      </c>
      <c r="X12" s="839" t="n"/>
      <c r="Y12" s="770" t="n"/>
    </row>
    <row r="13" ht="17.1" customFormat="1" customHeight="1" s="567">
      <c r="B13" s="742" t="inlineStr">
        <is>
          <t xml:space="preserve">New Asia Hires </t>
        </is>
      </c>
      <c r="C13" s="518" t="n"/>
      <c r="D13" s="518" t="n"/>
      <c r="E13" s="838" t="n"/>
      <c r="F13" s="520" t="n">
        <v>6</v>
      </c>
      <c r="G13" s="662">
        <f>F13</f>
        <v/>
      </c>
      <c r="H13" s="523" t="n">
        <v>12</v>
      </c>
      <c r="I13" s="523" t="n">
        <v>12</v>
      </c>
      <c r="J13" s="523" t="n">
        <v>14</v>
      </c>
      <c r="K13" s="523" t="n">
        <v>14</v>
      </c>
      <c r="L13" s="662">
        <f>K13</f>
        <v/>
      </c>
      <c r="M13" s="839" t="n">
        <v>14</v>
      </c>
      <c r="N13" s="839" t="n">
        <v>14</v>
      </c>
      <c r="O13" s="839" t="n">
        <v>14</v>
      </c>
      <c r="P13" s="841" t="n">
        <v>14</v>
      </c>
      <c r="Q13" s="841">
        <f>P13</f>
        <v/>
      </c>
      <c r="R13" s="838">
        <f>P13</f>
        <v/>
      </c>
      <c r="S13" s="839">
        <f>R13</f>
        <v/>
      </c>
      <c r="T13" s="839">
        <f>S13</f>
        <v/>
      </c>
      <c r="U13" s="841">
        <f>T13</f>
        <v/>
      </c>
      <c r="V13" s="841">
        <f>U13</f>
        <v/>
      </c>
      <c r="W13" s="841">
        <f>V13</f>
        <v/>
      </c>
      <c r="X13" s="839" t="n"/>
      <c r="Y13" s="771" t="inlineStr">
        <is>
          <t>1.5m founder holdback, 25%, 25% and 50% - 375k in q4 2020 - new category</t>
        </is>
      </c>
    </row>
    <row r="14" ht="19.5" customFormat="1" customHeight="1" s="577">
      <c r="B14" s="743" t="inlineStr">
        <is>
          <t>Total Ending HC</t>
        </is>
      </c>
      <c r="C14" s="735" t="n"/>
      <c r="D14" s="735" t="n"/>
      <c r="E14" s="842" t="n"/>
      <c r="F14" s="737">
        <f>F12+F13</f>
        <v/>
      </c>
      <c r="G14" s="738">
        <f>G12+G13</f>
        <v/>
      </c>
      <c r="H14" s="737">
        <f>H12+H13</f>
        <v/>
      </c>
      <c r="I14" s="737">
        <f>I12+I13</f>
        <v/>
      </c>
      <c r="J14" s="737">
        <f>J12+J13</f>
        <v/>
      </c>
      <c r="K14" s="737">
        <f>K12+K13</f>
        <v/>
      </c>
      <c r="L14" s="738">
        <f>L12+L13</f>
        <v/>
      </c>
      <c r="M14" s="843">
        <f>M12+M13</f>
        <v/>
      </c>
      <c r="N14" s="843">
        <f>N12+N13</f>
        <v/>
      </c>
      <c r="O14" s="843">
        <f>O12+O13</f>
        <v/>
      </c>
      <c r="P14" s="843">
        <f>P12+P13</f>
        <v/>
      </c>
      <c r="Q14" s="843">
        <f>Q12+Q13</f>
        <v/>
      </c>
      <c r="R14" s="843">
        <f>R12+R13</f>
        <v/>
      </c>
      <c r="S14" s="843">
        <f>S12+S13</f>
        <v/>
      </c>
      <c r="T14" s="843">
        <f>T12+T13</f>
        <v/>
      </c>
      <c r="U14" s="843">
        <f>U12+U13</f>
        <v/>
      </c>
      <c r="V14" s="843">
        <f>V12+V13</f>
        <v/>
      </c>
      <c r="W14" s="844">
        <f>V14</f>
        <v/>
      </c>
      <c r="X14" s="839" t="n"/>
    </row>
    <row r="15" ht="11.1" customFormat="1" customHeight="1" s="577">
      <c r="B15" s="704" t="n"/>
      <c r="C15" s="544" t="n"/>
      <c r="D15" s="544" t="n"/>
      <c r="E15" s="838" t="n"/>
      <c r="F15" s="839" t="n"/>
      <c r="G15" s="845" t="n"/>
      <c r="H15" s="839" t="n"/>
      <c r="I15" s="839" t="n"/>
      <c r="J15" s="839" t="n"/>
      <c r="K15" s="839" t="n"/>
      <c r="L15" s="845" t="n"/>
      <c r="M15" s="839" t="n"/>
      <c r="N15" s="839" t="n"/>
      <c r="O15" s="839" t="n"/>
      <c r="P15" s="839" t="n"/>
      <c r="Q15" s="839" t="n"/>
      <c r="R15" s="839" t="n"/>
      <c r="S15" s="839" t="n"/>
      <c r="T15" s="839" t="n"/>
      <c r="U15" s="839" t="n"/>
      <c r="V15" s="839" t="n"/>
      <c r="W15" s="839" t="n"/>
      <c r="X15" s="839" t="n"/>
    </row>
    <row r="16" ht="16.5" customFormat="1" customHeight="1" s="577">
      <c r="B16" s="704" t="inlineStr">
        <is>
          <t xml:space="preserve"> Run Rate Costs:</t>
        </is>
      </c>
      <c r="C16" s="544" t="n"/>
      <c r="D16" s="544" t="n"/>
      <c r="E16" s="838" t="n"/>
      <c r="F16" s="839" t="n"/>
      <c r="G16" s="726" t="n"/>
      <c r="H16" s="696" t="n"/>
      <c r="I16" s="696" t="n"/>
      <c r="J16" s="696" t="n"/>
      <c r="K16" s="696" t="n"/>
      <c r="L16" s="726" t="n"/>
      <c r="M16" s="606" t="n"/>
      <c r="N16" s="657" t="n"/>
      <c r="O16" s="839" t="n"/>
      <c r="P16" s="839" t="n"/>
      <c r="Q16" s="839" t="n"/>
      <c r="R16" s="839" t="n"/>
      <c r="S16" s="839" t="n"/>
      <c r="T16" s="839" t="n"/>
      <c r="U16" s="839" t="n"/>
      <c r="V16" s="839" t="n"/>
      <c r="W16" s="839" t="n"/>
      <c r="X16" s="839" t="n"/>
    </row>
    <row r="17" ht="18.6" customFormat="1" customHeight="1" s="577">
      <c r="B17" s="744">
        <f>B12</f>
        <v/>
      </c>
      <c r="C17" s="577" t="n"/>
      <c r="D17" s="577" t="n"/>
      <c r="E17" s="846" t="n"/>
      <c r="F17" s="847">
        <f>F43</f>
        <v/>
      </c>
      <c r="G17" s="680">
        <f>G43</f>
        <v/>
      </c>
      <c r="H17" s="681">
        <f>H43</f>
        <v/>
      </c>
      <c r="I17" s="681">
        <f>I43</f>
        <v/>
      </c>
      <c r="J17" s="681">
        <f>J43</f>
        <v/>
      </c>
      <c r="K17" s="681">
        <f>K43</f>
        <v/>
      </c>
      <c r="L17" s="680">
        <f>L43</f>
        <v/>
      </c>
      <c r="M17" s="847">
        <f>M43</f>
        <v/>
      </c>
      <c r="N17" s="847">
        <f>N43</f>
        <v/>
      </c>
      <c r="O17" s="847">
        <f>O43</f>
        <v/>
      </c>
      <c r="P17" s="847">
        <f>P43</f>
        <v/>
      </c>
      <c r="Q17" s="847">
        <f>Q43</f>
        <v/>
      </c>
      <c r="R17" s="847">
        <f>R43</f>
        <v/>
      </c>
      <c r="S17" s="847">
        <f>S43</f>
        <v/>
      </c>
      <c r="T17" s="847">
        <f>T43</f>
        <v/>
      </c>
      <c r="U17" s="847">
        <f>U43</f>
        <v/>
      </c>
      <c r="V17" s="847">
        <f>V43</f>
        <v/>
      </c>
      <c r="W17" s="847">
        <f>W43</f>
        <v/>
      </c>
      <c r="X17" s="577" t="n"/>
      <c r="Y17" s="545" t="n"/>
      <c r="Z17" s="577" t="n"/>
    </row>
    <row r="18" ht="18.6" customFormat="1" customHeight="1" s="577">
      <c r="B18" s="745">
        <f>B13</f>
        <v/>
      </c>
      <c r="C18" s="577" t="n"/>
      <c r="D18" s="577" t="n"/>
      <c r="E18" s="846" t="n"/>
      <c r="F18" s="619">
        <f>F69</f>
        <v/>
      </c>
      <c r="G18" s="630">
        <f>G69</f>
        <v/>
      </c>
      <c r="H18" s="619">
        <f>H69</f>
        <v/>
      </c>
      <c r="I18" s="619">
        <f>I69</f>
        <v/>
      </c>
      <c r="J18" s="619">
        <f>J69</f>
        <v/>
      </c>
      <c r="K18" s="619">
        <f>K69</f>
        <v/>
      </c>
      <c r="L18" s="630">
        <f>L69</f>
        <v/>
      </c>
      <c r="M18" s="847">
        <f>M69</f>
        <v/>
      </c>
      <c r="N18" s="847">
        <f>N69</f>
        <v/>
      </c>
      <c r="O18" s="847">
        <f>O69</f>
        <v/>
      </c>
      <c r="P18" s="847">
        <f>P69</f>
        <v/>
      </c>
      <c r="Q18" s="847">
        <f>Q69</f>
        <v/>
      </c>
      <c r="R18" s="847">
        <f>R69</f>
        <v/>
      </c>
      <c r="S18" s="847">
        <f>S69</f>
        <v/>
      </c>
      <c r="T18" s="847">
        <f>T69</f>
        <v/>
      </c>
      <c r="U18" s="847">
        <f>U69</f>
        <v/>
      </c>
      <c r="V18" s="847">
        <f>V69</f>
        <v/>
      </c>
      <c r="W18" s="847">
        <f>W69</f>
        <v/>
      </c>
      <c r="X18" s="577" t="n"/>
      <c r="Y18" s="545" t="n"/>
      <c r="Z18" s="577" t="inlineStr">
        <is>
          <t>More engineers</t>
        </is>
      </c>
      <c r="AA18" s="531">
        <f>(L18-L17)/L17</f>
        <v/>
      </c>
    </row>
    <row r="19" ht="18.6" customFormat="1" customHeight="1" s="535">
      <c r="B19" s="749" t="inlineStr">
        <is>
          <t xml:space="preserve"> Total HC Costs</t>
        </is>
      </c>
      <c r="C19" s="535" t="n"/>
      <c r="D19" s="535" t="n"/>
      <c r="E19" s="848" t="n"/>
      <c r="F19" s="849">
        <f>F43+F69</f>
        <v/>
      </c>
      <c r="G19" s="682">
        <f>G43+G69</f>
        <v/>
      </c>
      <c r="H19" s="734">
        <f>H43+H69</f>
        <v/>
      </c>
      <c r="I19" s="734">
        <f>I43+I69</f>
        <v/>
      </c>
      <c r="J19" s="734">
        <f>J43+J69</f>
        <v/>
      </c>
      <c r="K19" s="734">
        <f>K43+K69</f>
        <v/>
      </c>
      <c r="L19" s="682">
        <f>L43+L69</f>
        <v/>
      </c>
      <c r="M19" s="849">
        <f>M43+M69</f>
        <v/>
      </c>
      <c r="N19" s="849">
        <f>N43+N69</f>
        <v/>
      </c>
      <c r="O19" s="849">
        <f>O43+O69</f>
        <v/>
      </c>
      <c r="P19" s="849">
        <f>P43+P69</f>
        <v/>
      </c>
      <c r="Q19" s="849">
        <f>Q43+Q69</f>
        <v/>
      </c>
      <c r="R19" s="849">
        <f>R43+R69</f>
        <v/>
      </c>
      <c r="S19" s="849">
        <f>S43+S69</f>
        <v/>
      </c>
      <c r="T19" s="849">
        <f>T43+T69</f>
        <v/>
      </c>
      <c r="U19" s="849">
        <f>U43+U69</f>
        <v/>
      </c>
      <c r="V19" s="849">
        <f>V43+V69</f>
        <v/>
      </c>
      <c r="W19" s="849">
        <f>W43+W69</f>
        <v/>
      </c>
      <c r="X19" s="535" t="n"/>
      <c r="Y19" s="604" t="n"/>
      <c r="Z19" s="734">
        <f>L17+L18</f>
        <v/>
      </c>
    </row>
    <row r="20" hidden="1" outlineLevel="1" ht="23.45" customFormat="1" customHeight="1" s="604">
      <c r="B20" s="747" t="inlineStr">
        <is>
          <t>T&amp;E</t>
        </is>
      </c>
      <c r="C20" s="850" t="n"/>
      <c r="D20" s="851" t="n"/>
      <c r="E20" s="852" t="n"/>
      <c r="F20" s="853">
        <f>F85</f>
        <v/>
      </c>
      <c r="G20" s="684">
        <f>G85</f>
        <v/>
      </c>
      <c r="H20" s="685">
        <f>H85</f>
        <v/>
      </c>
      <c r="I20" s="685">
        <f>I85</f>
        <v/>
      </c>
      <c r="J20" s="685">
        <f>J85</f>
        <v/>
      </c>
      <c r="K20" s="685">
        <f>K85</f>
        <v/>
      </c>
      <c r="L20" s="684">
        <f>L85</f>
        <v/>
      </c>
      <c r="M20" s="853">
        <f>#REF!+M3</f>
        <v/>
      </c>
      <c r="N20" s="853">
        <f>#REF!+N3</f>
        <v/>
      </c>
      <c r="O20" s="853">
        <f>#REF!+O3</f>
        <v/>
      </c>
      <c r="P20" s="853">
        <f>#REF!+P3</f>
        <v/>
      </c>
      <c r="Q20" s="837">
        <f>SUM(M20:P20)</f>
        <v/>
      </c>
      <c r="R20" s="853">
        <f>#REF!+R3</f>
        <v/>
      </c>
      <c r="S20" s="853">
        <f>#REF!+S3</f>
        <v/>
      </c>
      <c r="T20" s="853">
        <f>#REF!+T3</f>
        <v/>
      </c>
      <c r="U20" s="853">
        <f>#REF!+U3</f>
        <v/>
      </c>
      <c r="V20" s="837">
        <f>SUM(R20:U20)</f>
        <v/>
      </c>
      <c r="W20" s="837">
        <f>G20+L20+Q20+V20</f>
        <v/>
      </c>
      <c r="X20" s="837" t="n"/>
      <c r="Y20" s="545" t="n"/>
    </row>
    <row r="21" hidden="1" outlineLevel="1" ht="23.45" customFormat="1" customHeight="1" s="577">
      <c r="B21" s="747" t="inlineStr">
        <is>
          <t xml:space="preserve">Facility and Office Exp </t>
        </is>
      </c>
      <c r="C21" s="577" t="n"/>
      <c r="D21" s="577" t="n"/>
      <c r="E21" s="854" t="n"/>
      <c r="F21" s="855">
        <f>F86</f>
        <v/>
      </c>
      <c r="G21" s="686">
        <f>G86</f>
        <v/>
      </c>
      <c r="H21" s="687">
        <f>H86</f>
        <v/>
      </c>
      <c r="I21" s="687">
        <f>I86</f>
        <v/>
      </c>
      <c r="J21" s="687">
        <f>J86</f>
        <v/>
      </c>
      <c r="K21" s="687">
        <f>K86</f>
        <v/>
      </c>
      <c r="L21" s="686">
        <f>L86</f>
        <v/>
      </c>
      <c r="M21" s="855">
        <f>#REF!+M4</f>
        <v/>
      </c>
      <c r="N21" s="855">
        <f>#REF!+N4</f>
        <v/>
      </c>
      <c r="O21" s="855">
        <f>#REF!+O4</f>
        <v/>
      </c>
      <c r="P21" s="855">
        <f>#REF!+P4</f>
        <v/>
      </c>
      <c r="Q21" s="837">
        <f>SUM(M21:P21)</f>
        <v/>
      </c>
      <c r="R21" s="855">
        <f>#REF!+R4</f>
        <v/>
      </c>
      <c r="S21" s="855">
        <f>#REF!+S4</f>
        <v/>
      </c>
      <c r="T21" s="855">
        <f>#REF!+T4</f>
        <v/>
      </c>
      <c r="U21" s="855">
        <f>#REF!+U4</f>
        <v/>
      </c>
      <c r="V21" s="837">
        <f>SUM(R21:U21)</f>
        <v/>
      </c>
      <c r="W21" s="837">
        <f>G21+L21+Q21+V21</f>
        <v/>
      </c>
      <c r="X21" s="837" t="n"/>
      <c r="Y21" s="545" t="n"/>
      <c r="Z21" s="577" t="n"/>
    </row>
    <row r="22" hidden="1" outlineLevel="1" ht="23.45" customFormat="1" customHeight="1" s="535">
      <c r="B22" s="748" t="inlineStr">
        <is>
          <t>IT Costs - wi fi&amp;special software</t>
        </is>
      </c>
      <c r="C22" s="855" t="inlineStr">
        <is>
          <t>Bill Bragg</t>
        </is>
      </c>
      <c r="E22" s="854" t="n"/>
      <c r="F22" s="853">
        <f>F90</f>
        <v/>
      </c>
      <c r="G22" s="684">
        <f>G90</f>
        <v/>
      </c>
      <c r="H22" s="685">
        <f>H90</f>
        <v/>
      </c>
      <c r="I22" s="685">
        <f>I90</f>
        <v/>
      </c>
      <c r="J22" s="685">
        <f>J90</f>
        <v/>
      </c>
      <c r="K22" s="685">
        <f>K90</f>
        <v/>
      </c>
      <c r="L22" s="684">
        <f>L90</f>
        <v/>
      </c>
      <c r="M22" s="856">
        <f>K22</f>
        <v/>
      </c>
      <c r="N22" s="856">
        <f>M22</f>
        <v/>
      </c>
      <c r="O22" s="856">
        <f>N22</f>
        <v/>
      </c>
      <c r="P22" s="856">
        <f>M22</f>
        <v/>
      </c>
      <c r="Q22" s="837">
        <f>SUM(M22:P22)</f>
        <v/>
      </c>
      <c r="R22" s="856">
        <f>M22</f>
        <v/>
      </c>
      <c r="S22" s="856">
        <f>R22</f>
        <v/>
      </c>
      <c r="T22" s="856">
        <f>S22</f>
        <v/>
      </c>
      <c r="U22" s="856">
        <f>S22</f>
        <v/>
      </c>
      <c r="V22" s="837">
        <f>SUM(R22:U22)</f>
        <v/>
      </c>
      <c r="W22" s="837">
        <f>G22+L22+Q22+V22</f>
        <v/>
      </c>
      <c r="X22" s="837" t="n"/>
      <c r="Y22" s="545" t="n"/>
    </row>
    <row r="23" hidden="1" outlineLevel="1" ht="23.45" customFormat="1" customHeight="1" s="535">
      <c r="B23" s="748" t="inlineStr">
        <is>
          <t>Engineering non h/c</t>
        </is>
      </c>
      <c r="C23" s="855" t="inlineStr">
        <is>
          <t>Paul Quinn</t>
        </is>
      </c>
      <c r="E23" s="852" t="n"/>
      <c r="F23" s="853">
        <f>F93</f>
        <v/>
      </c>
      <c r="G23" s="684">
        <f>G93</f>
        <v/>
      </c>
      <c r="H23" s="685">
        <f>H93</f>
        <v/>
      </c>
      <c r="I23" s="685">
        <f>I93</f>
        <v/>
      </c>
      <c r="J23" s="685">
        <f>J93</f>
        <v/>
      </c>
      <c r="K23" s="685">
        <f>K93</f>
        <v/>
      </c>
      <c r="L23" s="684">
        <f>L93</f>
        <v/>
      </c>
      <c r="M23" s="853">
        <f>#REF!</f>
        <v/>
      </c>
      <c r="N23" s="853">
        <f>#REF!</f>
        <v/>
      </c>
      <c r="O23" s="853">
        <f>#REF!</f>
        <v/>
      </c>
      <c r="P23" s="853">
        <f>#REF!</f>
        <v/>
      </c>
      <c r="Q23" s="837">
        <f>SUM(M23:P23)</f>
        <v/>
      </c>
      <c r="R23" s="853">
        <f>#REF!</f>
        <v/>
      </c>
      <c r="S23" s="853">
        <f>#REF!</f>
        <v/>
      </c>
      <c r="T23" s="853">
        <f>#REF!</f>
        <v/>
      </c>
      <c r="U23" s="853">
        <f>#REF!</f>
        <v/>
      </c>
      <c r="V23" s="837">
        <f>SUM(R23:U23)</f>
        <v/>
      </c>
      <c r="W23" s="837">
        <f>#REF!</f>
        <v/>
      </c>
      <c r="X23" s="837" t="n"/>
      <c r="Y23" s="545" t="n"/>
    </row>
    <row r="24" hidden="1" outlineLevel="1" ht="23.45" customFormat="1" customHeight="1" s="535">
      <c r="B24" s="748" t="inlineStr">
        <is>
          <t>Tax</t>
        </is>
      </c>
      <c r="C24" s="855" t="inlineStr">
        <is>
          <t>Anu/Harvey</t>
        </is>
      </c>
      <c r="E24" s="852" t="n"/>
      <c r="F24" s="853">
        <f>F95</f>
        <v/>
      </c>
      <c r="G24" s="684">
        <f>G95</f>
        <v/>
      </c>
      <c r="H24" s="685">
        <f>H95</f>
        <v/>
      </c>
      <c r="I24" s="685">
        <f>I95</f>
        <v/>
      </c>
      <c r="J24" s="685">
        <f>J95</f>
        <v/>
      </c>
      <c r="K24" s="685">
        <f>K95</f>
        <v/>
      </c>
      <c r="L24" s="684">
        <f>L95</f>
        <v/>
      </c>
      <c r="M24" s="853">
        <f>#REF!</f>
        <v/>
      </c>
      <c r="N24" s="853">
        <f>#REF!</f>
        <v/>
      </c>
      <c r="O24" s="853">
        <f>#REF!</f>
        <v/>
      </c>
      <c r="P24" s="853">
        <f>#REF!</f>
        <v/>
      </c>
      <c r="Q24" s="837">
        <f>SUM(M24:P24)</f>
        <v/>
      </c>
      <c r="R24" s="853">
        <f>#REF!</f>
        <v/>
      </c>
      <c r="S24" s="853">
        <f>#REF!</f>
        <v/>
      </c>
      <c r="T24" s="853">
        <f>#REF!</f>
        <v/>
      </c>
      <c r="U24" s="853">
        <f>#REF!</f>
        <v/>
      </c>
      <c r="V24" s="837">
        <f>SUM(R24:U24)</f>
        <v/>
      </c>
      <c r="W24" s="837">
        <f>#REF!</f>
        <v/>
      </c>
      <c r="X24" s="837" t="n"/>
      <c r="Y24" s="545" t="inlineStr">
        <is>
          <t>Stamp duty cost - 2% of shares of company - would it go to p&amp;l?</t>
        </is>
      </c>
    </row>
    <row r="25" hidden="1" outlineLevel="1" ht="23.45" customFormat="1" customHeight="1" s="535">
      <c r="B25" s="748" t="inlineStr">
        <is>
          <t>Other</t>
        </is>
      </c>
      <c r="C25" s="855" t="inlineStr">
        <is>
          <t>Nish/Tom</t>
        </is>
      </c>
      <c r="E25" s="854" t="n"/>
      <c r="F25" s="855">
        <f>F96</f>
        <v/>
      </c>
      <c r="G25" s="686">
        <f>G96</f>
        <v/>
      </c>
      <c r="H25" s="687">
        <f>H96</f>
        <v/>
      </c>
      <c r="I25" s="687">
        <f>I96</f>
        <v/>
      </c>
      <c r="J25" s="687">
        <f>J96</f>
        <v/>
      </c>
      <c r="K25" s="687">
        <f>K96</f>
        <v/>
      </c>
      <c r="L25" s="686">
        <f>L96</f>
        <v/>
      </c>
      <c r="M25" s="855">
        <f>#REF!</f>
        <v/>
      </c>
      <c r="N25" s="855">
        <f>#REF!</f>
        <v/>
      </c>
      <c r="O25" s="855">
        <f>#REF!</f>
        <v/>
      </c>
      <c r="P25" s="855">
        <f>#REF!</f>
        <v/>
      </c>
      <c r="Q25" s="837">
        <f>SUM(M25:P25)</f>
        <v/>
      </c>
      <c r="R25" s="855">
        <f>#REF!</f>
        <v/>
      </c>
      <c r="S25" s="855">
        <f>#REF!</f>
        <v/>
      </c>
      <c r="T25" s="855">
        <f>#REF!</f>
        <v/>
      </c>
      <c r="U25" s="855">
        <f>#REF!</f>
        <v/>
      </c>
      <c r="V25" s="837">
        <f>SUM(R25:U25)</f>
        <v/>
      </c>
      <c r="W25" s="837">
        <f>#REF!</f>
        <v/>
      </c>
      <c r="X25" s="837" t="n"/>
      <c r="Y25" s="545" t="n"/>
    </row>
    <row r="26" collapsed="1" ht="18.6" customFormat="1" customHeight="1" s="535">
      <c r="B26" s="749" t="inlineStr">
        <is>
          <t xml:space="preserve"> Non-HC  Costs</t>
        </is>
      </c>
      <c r="E26" s="848" t="n"/>
      <c r="F26" s="857">
        <f>F98-F19-F112</f>
        <v/>
      </c>
      <c r="G26" s="858">
        <f>G98-G19-G112</f>
        <v/>
      </c>
      <c r="H26" s="730">
        <f>H98-H19-H112</f>
        <v/>
      </c>
      <c r="I26" s="730">
        <f>I98-I19-I112</f>
        <v/>
      </c>
      <c r="J26" s="730">
        <f>J98-J19-J112</f>
        <v/>
      </c>
      <c r="K26" s="730" t="n">
        <v>231390.5</v>
      </c>
      <c r="L26" s="731">
        <f>SUM(H26:K26)</f>
        <v/>
      </c>
      <c r="M26" s="849">
        <f>M98-M19-M112</f>
        <v/>
      </c>
      <c r="N26" s="849">
        <f>N98-N19-N112</f>
        <v/>
      </c>
      <c r="O26" s="849">
        <f>O98-O19-O112</f>
        <v/>
      </c>
      <c r="P26" s="849">
        <f>P98-P19-P112</f>
        <v/>
      </c>
      <c r="Q26" s="849">
        <f>Q98-Q19-Q112</f>
        <v/>
      </c>
      <c r="R26" s="849">
        <f>R98-R19-R112</f>
        <v/>
      </c>
      <c r="S26" s="849">
        <f>S98-S19-S112</f>
        <v/>
      </c>
      <c r="T26" s="849">
        <f>T98-T19-T112</f>
        <v/>
      </c>
      <c r="U26" s="849">
        <f>U98-U19-U112</f>
        <v/>
      </c>
      <c r="V26" s="849">
        <f>V98-V19-V112</f>
        <v/>
      </c>
      <c r="W26" s="849">
        <f>W98-W19-W112</f>
        <v/>
      </c>
      <c r="X26" s="535" t="n"/>
      <c r="Y26" s="604" t="n"/>
      <c r="Z26" s="734">
        <f>SUM(H26:K26)</f>
        <v/>
      </c>
    </row>
    <row r="27" ht="19.5" customFormat="1" customHeight="1" s="577">
      <c r="B27" s="750" t="inlineStr">
        <is>
          <t xml:space="preserve">Total Run Rate Costs </t>
        </is>
      </c>
      <c r="C27" s="539" t="n"/>
      <c r="D27" s="539" t="n"/>
      <c r="E27" s="859" t="n"/>
      <c r="F27" s="661">
        <f>F19+F26</f>
        <v/>
      </c>
      <c r="G27" s="739">
        <f>G19+G26</f>
        <v/>
      </c>
      <c r="H27" s="740">
        <f>H19+H26</f>
        <v/>
      </c>
      <c r="I27" s="740">
        <f>I19+I26</f>
        <v/>
      </c>
      <c r="J27" s="740">
        <f>J19+J26</f>
        <v/>
      </c>
      <c r="K27" s="740">
        <f>K19+K26</f>
        <v/>
      </c>
      <c r="L27" s="739">
        <f>L19+L26</f>
        <v/>
      </c>
      <c r="M27" s="860">
        <f>M19+M26</f>
        <v/>
      </c>
      <c r="N27" s="860">
        <f>N19+N26</f>
        <v/>
      </c>
      <c r="O27" s="860">
        <f>O19+O26</f>
        <v/>
      </c>
      <c r="P27" s="860">
        <f>P19+P26</f>
        <v/>
      </c>
      <c r="Q27" s="860">
        <f>Q19+Q26</f>
        <v/>
      </c>
      <c r="R27" s="860">
        <f>R19+R26</f>
        <v/>
      </c>
      <c r="S27" s="860">
        <f>S19+S26</f>
        <v/>
      </c>
      <c r="T27" s="860">
        <f>T19+T26</f>
        <v/>
      </c>
      <c r="U27" s="860">
        <f>U19+U26</f>
        <v/>
      </c>
      <c r="V27" s="860">
        <f>V19+V26</f>
        <v/>
      </c>
      <c r="W27" s="847">
        <f>W19+W26</f>
        <v/>
      </c>
      <c r="X27" s="577" t="n"/>
      <c r="Y27" s="545" t="n"/>
    </row>
    <row r="28" ht="11.1" customFormat="1" customHeight="1" s="577">
      <c r="B28" s="704" t="n"/>
      <c r="C28" s="544" t="n"/>
      <c r="D28" s="544" t="n"/>
      <c r="E28" s="838" t="n"/>
      <c r="F28" s="839" t="n"/>
      <c r="G28" s="845" t="n"/>
      <c r="H28" s="839" t="n"/>
      <c r="I28" s="839" t="n"/>
      <c r="J28" s="839" t="n"/>
      <c r="K28" s="839" t="n"/>
      <c r="L28" s="845" t="n"/>
      <c r="M28" s="839" t="n"/>
      <c r="N28" s="839" t="n"/>
      <c r="O28" s="839" t="n"/>
      <c r="P28" s="839" t="n"/>
      <c r="Q28" s="839" t="n"/>
      <c r="R28" s="839" t="n"/>
      <c r="S28" s="839" t="n"/>
      <c r="T28" s="839" t="n"/>
      <c r="U28" s="839" t="n"/>
      <c r="V28" s="839" t="n"/>
      <c r="W28" s="839" t="n"/>
      <c r="X28" s="839" t="n"/>
    </row>
    <row r="29" hidden="1" outlineLevel="1" ht="17.1" customFormat="1" customHeight="1" s="577">
      <c r="B29" s="751" t="inlineStr">
        <is>
          <t>Cost of goods sold</t>
        </is>
      </c>
      <c r="C29" s="544" t="n"/>
      <c r="D29" s="544" t="n"/>
      <c r="E29" s="838" t="n"/>
      <c r="F29" s="839" t="n"/>
      <c r="G29" s="845" t="n"/>
      <c r="H29" s="839" t="n"/>
      <c r="I29" s="839" t="n"/>
      <c r="J29" s="839" t="n"/>
      <c r="K29" s="839" t="n"/>
      <c r="L29" s="845" t="n"/>
      <c r="M29" s="839" t="n"/>
      <c r="N29" s="839" t="n"/>
      <c r="O29" s="839" t="n"/>
      <c r="P29" s="839" t="n"/>
      <c r="Q29" s="839" t="n"/>
      <c r="R29" s="839" t="n"/>
      <c r="S29" s="839" t="n"/>
      <c r="T29" s="839" t="n"/>
      <c r="U29" s="839" t="n"/>
      <c r="V29" s="839" t="n"/>
      <c r="W29" s="839" t="n"/>
      <c r="X29" s="839" t="n"/>
    </row>
    <row r="30" hidden="1" outlineLevel="2" ht="17.1" customFormat="1" customHeight="1" s="535">
      <c r="B30" s="547" t="inlineStr">
        <is>
          <t>Inventory write off - DokiPal units that we will not sell</t>
        </is>
      </c>
      <c r="C30" s="855" t="inlineStr">
        <is>
          <t>Audrey</t>
        </is>
      </c>
      <c r="E30" s="861" t="n"/>
      <c r="F30" s="862">
        <f>100000</f>
        <v/>
      </c>
      <c r="G30" s="863">
        <f>SUM(E30:F30)</f>
        <v/>
      </c>
      <c r="H30" s="864" t="n"/>
      <c r="I30" s="864" t="n"/>
      <c r="J30" s="864" t="n"/>
      <c r="K30" s="864" t="n"/>
      <c r="L30" s="863" t="n"/>
      <c r="M30" s="865" t="n"/>
      <c r="N30" s="865" t="n"/>
      <c r="O30" s="865" t="n"/>
      <c r="P30" s="865" t="n"/>
      <c r="Q30" s="866" t="n"/>
      <c r="R30" s="865" t="n"/>
      <c r="S30" s="865" t="n"/>
      <c r="T30" s="865" t="n"/>
      <c r="U30" s="865" t="n"/>
      <c r="V30" s="866" t="n"/>
      <c r="W30" s="867">
        <f>G30+L30+Q30+V30</f>
        <v/>
      </c>
      <c r="X30" s="837" t="n"/>
      <c r="Y30" s="604" t="n"/>
    </row>
    <row r="31" hidden="1" outlineLevel="2" ht="17.1" customFormat="1" customHeight="1" s="535">
      <c r="B31" s="547" t="inlineStr">
        <is>
          <t>Inventory write off - Buy back of DokiPal units</t>
        </is>
      </c>
      <c r="C31" s="855" t="n"/>
      <c r="E31" s="861" t="n"/>
      <c r="F31" s="862">
        <f>'Recoverable units'!F20</f>
        <v/>
      </c>
      <c r="G31" s="863">
        <f>SUM(E31:F31)</f>
        <v/>
      </c>
      <c r="H31" s="864" t="n"/>
      <c r="I31" s="864" t="n"/>
      <c r="J31" s="864" t="n"/>
      <c r="K31" s="864" t="n"/>
      <c r="L31" s="863" t="n"/>
      <c r="M31" s="865" t="n"/>
      <c r="N31" s="865" t="n"/>
      <c r="O31" s="865" t="n"/>
      <c r="P31" s="865" t="n"/>
      <c r="Q31" s="866" t="n"/>
      <c r="R31" s="865" t="n"/>
      <c r="S31" s="865" t="n"/>
      <c r="T31" s="865" t="n"/>
      <c r="U31" s="865" t="n"/>
      <c r="V31" s="866" t="n"/>
      <c r="W31" s="867">
        <f>G31+L31+Q31+V31</f>
        <v/>
      </c>
      <c r="X31" s="837" t="n"/>
      <c r="Y31" s="545" t="n"/>
    </row>
    <row r="32" hidden="1" outlineLevel="1" ht="17.1" customFormat="1" customHeight="1" s="535">
      <c r="B32" s="547" t="n"/>
      <c r="C32" s="855" t="n"/>
      <c r="E32" s="868" t="n"/>
      <c r="F32" s="853" t="n"/>
      <c r="G32" s="869" t="n"/>
      <c r="H32" s="837" t="n"/>
      <c r="I32" s="837" t="n"/>
      <c r="J32" s="837" t="n"/>
      <c r="K32" s="837" t="n"/>
      <c r="L32" s="869" t="n"/>
      <c r="M32" s="855" t="n"/>
      <c r="N32" s="855" t="n"/>
      <c r="O32" s="855" t="n"/>
      <c r="P32" s="855" t="n"/>
      <c r="Q32" s="870" t="n"/>
      <c r="R32" s="855" t="n"/>
      <c r="S32" s="855" t="n"/>
      <c r="T32" s="855" t="n"/>
      <c r="U32" s="855" t="n"/>
      <c r="V32" s="870" t="n"/>
      <c r="W32" s="871" t="n"/>
      <c r="X32" s="837" t="n"/>
      <c r="Y32" s="604" t="n"/>
    </row>
    <row r="33" hidden="1" outlineLevel="1" collapsed="1" ht="17.1" customFormat="1" customHeight="1" s="577">
      <c r="B33" s="751" t="inlineStr">
        <is>
          <t>Operating costs:</t>
        </is>
      </c>
      <c r="C33" s="543" t="n"/>
      <c r="D33" s="544" t="n"/>
      <c r="E33" s="854" t="n"/>
      <c r="F33" s="853" t="n"/>
      <c r="G33" s="869" t="n"/>
      <c r="H33" s="855" t="n"/>
      <c r="I33" s="855" t="n"/>
      <c r="J33" s="855" t="n"/>
      <c r="K33" s="855" t="n"/>
      <c r="L33" s="869" t="n"/>
      <c r="M33" s="855" t="n"/>
      <c r="N33" s="855" t="n"/>
      <c r="O33" s="855" t="n"/>
      <c r="P33" s="855" t="n"/>
      <c r="Q33" s="870" t="n"/>
      <c r="R33" s="855" t="n"/>
      <c r="S33" s="855" t="n"/>
      <c r="T33" s="855" t="n"/>
      <c r="U33" s="855" t="n"/>
      <c r="V33" s="870" t="n"/>
      <c r="W33" s="871" t="n"/>
      <c r="X33" s="837" t="n"/>
      <c r="Y33" s="545" t="n"/>
    </row>
    <row r="34" hidden="1" outlineLevel="2" ht="17.1" customFormat="1" customHeight="1" s="577">
      <c r="B34" s="751" t="n"/>
      <c r="C34" s="543" t="n"/>
      <c r="D34" s="544" t="n"/>
      <c r="E34" s="854" t="n"/>
      <c r="F34" s="853" t="n"/>
      <c r="G34" s="869" t="n"/>
      <c r="H34" s="855" t="n"/>
      <c r="I34" s="855" t="n"/>
      <c r="J34" s="855" t="n"/>
      <c r="K34" s="855" t="n"/>
      <c r="L34" s="869" t="n"/>
      <c r="M34" s="855" t="n"/>
      <c r="N34" s="855" t="n"/>
      <c r="O34" s="855" t="n"/>
      <c r="P34" s="855" t="n"/>
      <c r="Q34" s="870" t="n"/>
      <c r="R34" s="855" t="n"/>
      <c r="S34" s="855" t="n"/>
      <c r="T34" s="855" t="n"/>
      <c r="U34" s="855" t="n"/>
      <c r="V34" s="870" t="n"/>
      <c r="W34" s="871" t="n"/>
      <c r="X34" s="837" t="n"/>
      <c r="Y34" s="545" t="n"/>
    </row>
    <row r="35" hidden="1" outlineLevel="3" ht="17.1" customFormat="1" customHeight="1" s="577">
      <c r="B35" s="752" t="inlineStr">
        <is>
          <t>Gross wages - yoy inc</t>
        </is>
      </c>
      <c r="C35" s="543" t="n"/>
      <c r="D35" s="544" t="n"/>
      <c r="E35" s="854" t="n"/>
      <c r="F35" s="853" t="n"/>
      <c r="G35" s="869" t="n"/>
      <c r="H35" s="472" t="n">
        <v>0</v>
      </c>
      <c r="I35" s="855" t="n"/>
      <c r="J35" s="855" t="n"/>
      <c r="K35" s="855" t="n"/>
      <c r="L35" s="869" t="n"/>
      <c r="M35" s="472" t="n">
        <v>0.05</v>
      </c>
      <c r="N35" s="855" t="n"/>
      <c r="O35" s="855" t="n"/>
      <c r="P35" s="855" t="n"/>
      <c r="Q35" s="870" t="n"/>
      <c r="R35" s="472">
        <f>M35</f>
        <v/>
      </c>
      <c r="S35" s="855" t="n"/>
      <c r="T35" s="855" t="n"/>
      <c r="U35" s="855" t="n"/>
      <c r="V35" s="870" t="n"/>
      <c r="W35" s="871" t="n"/>
      <c r="X35" s="837" t="n"/>
      <c r="Y35" s="770" t="n"/>
    </row>
    <row r="36" hidden="1" outlineLevel="2" ht="17.1" customFormat="1" customHeight="1" s="535">
      <c r="B36" s="703" t="inlineStr">
        <is>
          <t xml:space="preserve">Gross Wages </t>
        </is>
      </c>
      <c r="C36" s="855" t="inlineStr">
        <is>
          <t>HR</t>
        </is>
      </c>
      <c r="D36" s="837" t="n"/>
      <c r="E36" s="868" t="n"/>
      <c r="F36" s="855">
        <f>[1]Sheet1!$G$30/4</f>
        <v/>
      </c>
      <c r="G36" s="869">
        <f>SUM(E36:F36)</f>
        <v/>
      </c>
      <c r="H36" s="855">
        <f>F36*(1+H35)</f>
        <v/>
      </c>
      <c r="I36" s="855">
        <f>H36</f>
        <v/>
      </c>
      <c r="J36" s="855">
        <f>I36</f>
        <v/>
      </c>
      <c r="K36" s="855">
        <f>J36</f>
        <v/>
      </c>
      <c r="L36" s="869">
        <f>SUM(H36:K36)</f>
        <v/>
      </c>
      <c r="M36" s="855">
        <f>H36*(1+M35)</f>
        <v/>
      </c>
      <c r="N36" s="872">
        <f>M36</f>
        <v/>
      </c>
      <c r="O36" s="872">
        <f>N36</f>
        <v/>
      </c>
      <c r="P36" s="872">
        <f>O36</f>
        <v/>
      </c>
      <c r="Q36" s="870">
        <f>SUM(M36:P36)</f>
        <v/>
      </c>
      <c r="R36" s="855">
        <f>M36*(1+R35)</f>
        <v/>
      </c>
      <c r="S36" s="855">
        <f>R36</f>
        <v/>
      </c>
      <c r="T36" s="855">
        <f>S36</f>
        <v/>
      </c>
      <c r="U36" s="855">
        <f>T36</f>
        <v/>
      </c>
      <c r="V36" s="870">
        <f>SUM(R36:U36)</f>
        <v/>
      </c>
      <c r="W36" s="871">
        <f>G36+L36+Q36+V36</f>
        <v/>
      </c>
      <c r="X36" s="837" t="n"/>
      <c r="Y36" s="770" t="n"/>
    </row>
    <row r="37" hidden="1" outlineLevel="3" ht="17.1" customFormat="1" customHeight="1" s="535">
      <c r="B37" s="752" t="inlineStr">
        <is>
          <t>Bonus - yoy inc</t>
        </is>
      </c>
      <c r="C37" s="855" t="n"/>
      <c r="D37" s="837" t="n"/>
      <c r="E37" s="868" t="n"/>
      <c r="F37" s="472" t="n"/>
      <c r="G37" s="665" t="n"/>
      <c r="H37" s="472" t="n">
        <v>0</v>
      </c>
      <c r="I37" s="472" t="n"/>
      <c r="J37" s="472" t="n"/>
      <c r="K37" s="472" t="n"/>
      <c r="L37" s="665" t="n"/>
      <c r="M37" s="472" t="n">
        <v>0.05</v>
      </c>
      <c r="N37" s="472" t="n"/>
      <c r="O37" s="472" t="n"/>
      <c r="P37" s="472" t="n"/>
      <c r="Q37" s="477" t="n"/>
      <c r="R37" s="472">
        <f>M37</f>
        <v/>
      </c>
      <c r="S37" s="472" t="n"/>
      <c r="T37" s="472" t="n"/>
      <c r="U37" s="472" t="n"/>
      <c r="V37" s="477" t="n"/>
      <c r="W37" s="478">
        <f>G37+L37+Q37+V37</f>
        <v/>
      </c>
      <c r="X37" s="472" t="n"/>
      <c r="Y37" s="770" t="n"/>
      <c r="Z37" s="770" t="n"/>
      <c r="AA37" s="770" t="n"/>
      <c r="AB37" s="770" t="n"/>
      <c r="AC37" s="770" t="n"/>
      <c r="AD37" s="770" t="n"/>
      <c r="AE37" s="770" t="n"/>
      <c r="AF37" s="770" t="n"/>
      <c r="AG37" s="770" t="n"/>
      <c r="AH37" s="770" t="n"/>
    </row>
    <row r="38" hidden="1" outlineLevel="2" ht="17.1" customFormat="1" customHeight="1" s="535">
      <c r="B38" s="703" t="inlineStr">
        <is>
          <t>Bonus</t>
        </is>
      </c>
      <c r="C38" s="855" t="inlineStr">
        <is>
          <t>HR</t>
        </is>
      </c>
      <c r="D38" s="837" t="n"/>
      <c r="E38" s="868" t="n"/>
      <c r="F38" s="855">
        <f>[1]Sheet1!$K$32/4</f>
        <v/>
      </c>
      <c r="G38" s="869">
        <f>SUM(E38:F38)</f>
        <v/>
      </c>
      <c r="H38" s="855">
        <f>F38*(1+H37)</f>
        <v/>
      </c>
      <c r="I38" s="855">
        <f>H38</f>
        <v/>
      </c>
      <c r="J38" s="855">
        <f>I38</f>
        <v/>
      </c>
      <c r="K38" s="855">
        <f>J38</f>
        <v/>
      </c>
      <c r="L38" s="869">
        <f>SUM(H38:K38)</f>
        <v/>
      </c>
      <c r="M38" s="855">
        <f>H38*(1+M37)</f>
        <v/>
      </c>
      <c r="N38" s="872">
        <f>M38</f>
        <v/>
      </c>
      <c r="O38" s="872">
        <f>N38</f>
        <v/>
      </c>
      <c r="P38" s="872">
        <f>O38</f>
        <v/>
      </c>
      <c r="Q38" s="870">
        <f>SUM(M38:P38)</f>
        <v/>
      </c>
      <c r="R38" s="855">
        <f>M38*(1+R37)</f>
        <v/>
      </c>
      <c r="S38" s="855">
        <f>R38</f>
        <v/>
      </c>
      <c r="T38" s="855">
        <f>S38</f>
        <v/>
      </c>
      <c r="U38" s="855">
        <f>T38</f>
        <v/>
      </c>
      <c r="V38" s="870">
        <f>SUM(R38:U38)</f>
        <v/>
      </c>
      <c r="W38" s="871">
        <f>G38+L38+Q38+V38</f>
        <v/>
      </c>
      <c r="X38" s="837" t="n"/>
      <c r="Y38" s="770" t="n"/>
    </row>
    <row r="39" hidden="1" outlineLevel="3" ht="17.1" customFormat="1" customHeight="1" s="535">
      <c r="B39" s="752" t="inlineStr">
        <is>
          <t>Fringe assumption</t>
        </is>
      </c>
      <c r="C39" s="855" t="n"/>
      <c r="D39" s="837" t="n"/>
      <c r="E39" s="868" t="n"/>
      <c r="F39" s="472" t="n">
        <v>0.15</v>
      </c>
      <c r="G39" s="665">
        <f>F39</f>
        <v/>
      </c>
      <c r="H39" s="472">
        <f>G39</f>
        <v/>
      </c>
      <c r="I39" s="472">
        <f>H39</f>
        <v/>
      </c>
      <c r="J39" s="472">
        <f>I39</f>
        <v/>
      </c>
      <c r="K39" s="472">
        <f>J39</f>
        <v/>
      </c>
      <c r="L39" s="665">
        <f>K39</f>
        <v/>
      </c>
      <c r="M39" s="472">
        <f>L39</f>
        <v/>
      </c>
      <c r="N39" s="472">
        <f>M39</f>
        <v/>
      </c>
      <c r="O39" s="472">
        <f>N39</f>
        <v/>
      </c>
      <c r="P39" s="472">
        <f>O39</f>
        <v/>
      </c>
      <c r="Q39" s="477">
        <f>P39</f>
        <v/>
      </c>
      <c r="R39" s="472">
        <f>Q39</f>
        <v/>
      </c>
      <c r="S39" s="472">
        <f>R39</f>
        <v/>
      </c>
      <c r="T39" s="472">
        <f>S39</f>
        <v/>
      </c>
      <c r="U39" s="472">
        <f>T39</f>
        <v/>
      </c>
      <c r="V39" s="477">
        <f>U39</f>
        <v/>
      </c>
      <c r="W39" s="478">
        <f>G39+L39+Q39+V39</f>
        <v/>
      </c>
      <c r="X39" s="472" t="n"/>
      <c r="Y39" s="770" t="n"/>
      <c r="Z39" s="770" t="n"/>
      <c r="AA39" s="770" t="n"/>
      <c r="AB39" s="770" t="n"/>
      <c r="AC39" s="770" t="n"/>
      <c r="AD39" s="770" t="n"/>
      <c r="AE39" s="770" t="n"/>
      <c r="AF39" s="770" t="n"/>
      <c r="AG39" s="770" t="n"/>
      <c r="AH39" s="770" t="n"/>
    </row>
    <row r="40" hidden="1" outlineLevel="2" ht="17.1" customFormat="1" customHeight="1" s="535">
      <c r="B40" s="703" t="inlineStr">
        <is>
          <t>Fringe</t>
        </is>
      </c>
      <c r="C40" s="855" t="inlineStr">
        <is>
          <t>HR</t>
        </is>
      </c>
      <c r="D40" s="837" t="n"/>
      <c r="E40" s="868" t="n"/>
      <c r="F40" s="855">
        <f>SUM(F36:F38)*$F$39</f>
        <v/>
      </c>
      <c r="G40" s="869">
        <f>SUM(E40:F40)</f>
        <v/>
      </c>
      <c r="H40" s="855">
        <f>SUM(H36:H38)*$F$39</f>
        <v/>
      </c>
      <c r="I40" s="855">
        <f>SUM(I36:I38)*$F$39</f>
        <v/>
      </c>
      <c r="J40" s="855">
        <f>SUM(J36:J38)*$F$39</f>
        <v/>
      </c>
      <c r="K40" s="855">
        <f>SUM(K36:K38)*$F$39</f>
        <v/>
      </c>
      <c r="L40" s="869">
        <f>SUM(H40:K40)</f>
        <v/>
      </c>
      <c r="M40" s="855">
        <f>SUM(M36:M38)*$F$39</f>
        <v/>
      </c>
      <c r="N40" s="872">
        <f>M40</f>
        <v/>
      </c>
      <c r="O40" s="872">
        <f>N40</f>
        <v/>
      </c>
      <c r="P40" s="872">
        <f>O40</f>
        <v/>
      </c>
      <c r="Q40" s="870">
        <f>SUM(M40:P40)</f>
        <v/>
      </c>
      <c r="R40" s="855">
        <f>SUM(R36:R38)*$F$39</f>
        <v/>
      </c>
      <c r="S40" s="855">
        <f>SUM(S36:S38)*$F$39</f>
        <v/>
      </c>
      <c r="T40" s="855">
        <f>SUM(T36:T38)*$F$39</f>
        <v/>
      </c>
      <c r="U40" s="855">
        <f>SUM(U36:U38)*$F$39</f>
        <v/>
      </c>
      <c r="V40" s="870">
        <f>SUM(R40:U40)</f>
        <v/>
      </c>
      <c r="W40" s="871">
        <f>G40+L40+Q40+V40</f>
        <v/>
      </c>
      <c r="X40" s="837" t="n"/>
    </row>
    <row r="41" hidden="1" outlineLevel="2" ht="17.1" customFormat="1" customHeight="1" s="535">
      <c r="B41" s="703" t="inlineStr">
        <is>
          <t>Retention</t>
        </is>
      </c>
      <c r="C41" s="855" t="inlineStr">
        <is>
          <t>HR</t>
        </is>
      </c>
      <c r="D41" s="837" t="n"/>
      <c r="E41" s="868" t="n"/>
      <c r="F41" s="855">
        <f>((85000/18)*3)+(85000/36)*3</f>
        <v/>
      </c>
      <c r="G41" s="869">
        <f>SUM(E41:F41)</f>
        <v/>
      </c>
      <c r="H41" s="855">
        <f>F41</f>
        <v/>
      </c>
      <c r="I41" s="855">
        <f>H41</f>
        <v/>
      </c>
      <c r="J41" s="855">
        <f>I41</f>
        <v/>
      </c>
      <c r="K41" s="855">
        <f>J41</f>
        <v/>
      </c>
      <c r="L41" s="869">
        <f>SUM(H41:K41)</f>
        <v/>
      </c>
      <c r="M41" s="855">
        <f>K41</f>
        <v/>
      </c>
      <c r="N41" s="873">
        <f>(85000/36)*3</f>
        <v/>
      </c>
      <c r="O41" s="855">
        <f>N41</f>
        <v/>
      </c>
      <c r="P41" s="855">
        <f>O41</f>
        <v/>
      </c>
      <c r="Q41" s="870">
        <f>SUM(M41:P41)</f>
        <v/>
      </c>
      <c r="R41" s="855">
        <f>N41</f>
        <v/>
      </c>
      <c r="S41" s="855">
        <f>R41</f>
        <v/>
      </c>
      <c r="T41" s="855">
        <f>S41</f>
        <v/>
      </c>
      <c r="U41" s="855" t="n"/>
      <c r="V41" s="870">
        <f>SUM(R41:U41)</f>
        <v/>
      </c>
      <c r="W41" s="871">
        <f>G41+L41+Q41+V41</f>
        <v/>
      </c>
      <c r="X41" s="837" t="n"/>
      <c r="Y41" s="770" t="n"/>
    </row>
    <row r="42" hidden="1" outlineLevel="2" ht="17.1" customFormat="1" customHeight="1" s="535">
      <c r="B42" s="703" t="inlineStr">
        <is>
          <t>Severance</t>
        </is>
      </c>
      <c r="C42" s="855" t="inlineStr">
        <is>
          <t>HR</t>
        </is>
      </c>
      <c r="D42" s="837" t="n"/>
      <c r="E42" s="861" t="n"/>
      <c r="F42" s="865" t="n">
        <v>0</v>
      </c>
      <c r="G42" s="863">
        <f>SUM(E42:F42)</f>
        <v/>
      </c>
      <c r="H42" s="865" t="n">
        <v>0</v>
      </c>
      <c r="I42" s="865" t="n">
        <v>0</v>
      </c>
      <c r="J42" s="865" t="n">
        <v>0</v>
      </c>
      <c r="K42" s="865" t="n">
        <v>0</v>
      </c>
      <c r="L42" s="863">
        <f>SUM(H42:K42)</f>
        <v/>
      </c>
      <c r="M42" s="865" t="n">
        <v>0</v>
      </c>
      <c r="N42" s="865">
        <f>M42</f>
        <v/>
      </c>
      <c r="O42" s="865">
        <f>N42</f>
        <v/>
      </c>
      <c r="P42" s="865">
        <f>O42</f>
        <v/>
      </c>
      <c r="Q42" s="866">
        <f>SUM(M42:P42)</f>
        <v/>
      </c>
      <c r="R42" s="865" t="n">
        <v>0</v>
      </c>
      <c r="S42" s="865" t="n">
        <v>0</v>
      </c>
      <c r="T42" s="865" t="n">
        <v>0</v>
      </c>
      <c r="U42" s="865" t="n">
        <v>0</v>
      </c>
      <c r="V42" s="866">
        <f>SUM(R42:U42)</f>
        <v/>
      </c>
      <c r="W42" s="867">
        <f>G42+L42+Q42+V42</f>
        <v/>
      </c>
      <c r="X42" s="837" t="n"/>
      <c r="Y42" s="545" t="n"/>
      <c r="Z42" s="545" t="n"/>
      <c r="AA42" s="770" t="n"/>
      <c r="AB42" s="770" t="n"/>
      <c r="AC42" s="770" t="n"/>
      <c r="AD42" s="770" t="n"/>
      <c r="AE42" s="770" t="n"/>
      <c r="AF42" s="770" t="n"/>
      <c r="AG42" s="770" t="n"/>
      <c r="AH42" s="770" t="n"/>
    </row>
    <row r="43" hidden="1" outlineLevel="1" ht="17.1" customFormat="1" customHeight="1" s="535">
      <c r="B43" s="547" t="inlineStr">
        <is>
          <t>HC Related costs</t>
        </is>
      </c>
      <c r="C43" s="855" t="inlineStr">
        <is>
          <t>HR</t>
        </is>
      </c>
      <c r="D43" s="837" t="n"/>
      <c r="E43" s="868" t="n"/>
      <c r="F43" s="855">
        <f>SUM(F36:F42)</f>
        <v/>
      </c>
      <c r="G43" s="869">
        <f>SUM(E43:F43)</f>
        <v/>
      </c>
      <c r="H43" s="855">
        <f>SUM(H36:H42)</f>
        <v/>
      </c>
      <c r="I43" s="855">
        <f>SUM(I36:I42)</f>
        <v/>
      </c>
      <c r="J43" s="855">
        <f>SUM(J36:J42)</f>
        <v/>
      </c>
      <c r="K43" s="855">
        <f>SUM(K36:K42)</f>
        <v/>
      </c>
      <c r="L43" s="869">
        <f>SUM(L36:L42)</f>
        <v/>
      </c>
      <c r="M43" s="855">
        <f>SUM(M36:M42)</f>
        <v/>
      </c>
      <c r="N43" s="855">
        <f>SUM(N36:N42)</f>
        <v/>
      </c>
      <c r="O43" s="855">
        <f>SUM(O36:O42)</f>
        <v/>
      </c>
      <c r="P43" s="855">
        <f>SUM(P36:P42)</f>
        <v/>
      </c>
      <c r="Q43" s="870">
        <f>SUM(Q36:Q42)</f>
        <v/>
      </c>
      <c r="R43" s="855">
        <f>SUM(R36:R42)</f>
        <v/>
      </c>
      <c r="S43" s="855">
        <f>SUM(S36:S42)</f>
        <v/>
      </c>
      <c r="T43" s="855">
        <f>SUM(T36:T42)</f>
        <v/>
      </c>
      <c r="U43" s="855">
        <f>SUM(U36:U42)</f>
        <v/>
      </c>
      <c r="V43" s="870">
        <f>SUM(V36:V42)</f>
        <v/>
      </c>
      <c r="W43" s="871">
        <f>G43+L43+Q43+V43</f>
        <v/>
      </c>
      <c r="X43" s="837" t="n"/>
      <c r="Y43" s="545" t="n"/>
      <c r="AI43" s="764" t="inlineStr">
        <is>
          <t>HC Costs Copy of Delta Comp v2- 9.27.19 - Sent to Casper.xlsx</t>
        </is>
      </c>
    </row>
    <row r="44" hidden="1" outlineLevel="2" ht="17.1" customFormat="1" customHeight="1" s="535">
      <c r="B44" s="753" t="inlineStr">
        <is>
          <t>T&amp;E - per person p.a</t>
        </is>
      </c>
      <c r="C44" s="855" t="n"/>
      <c r="D44" s="837" t="n"/>
      <c r="E44" s="868" t="n"/>
      <c r="F44" s="874">
        <f>5000/4</f>
        <v/>
      </c>
      <c r="G44" s="875">
        <f>SUM(E44:F44)</f>
        <v/>
      </c>
      <c r="H44" s="874">
        <f>F44</f>
        <v/>
      </c>
      <c r="I44" s="874">
        <f>H44</f>
        <v/>
      </c>
      <c r="J44" s="874">
        <f>I44</f>
        <v/>
      </c>
      <c r="K44" s="874">
        <f>J44</f>
        <v/>
      </c>
      <c r="L44" s="869">
        <f>SUM(H44:K44)</f>
        <v/>
      </c>
      <c r="M44" s="874">
        <f>H44</f>
        <v/>
      </c>
      <c r="N44" s="874">
        <f>I44</f>
        <v/>
      </c>
      <c r="O44" s="874">
        <f>J44</f>
        <v/>
      </c>
      <c r="P44" s="874">
        <f>K44</f>
        <v/>
      </c>
      <c r="Q44" s="870">
        <f>SUM(M44:P44)</f>
        <v/>
      </c>
      <c r="R44" s="874">
        <f>M44</f>
        <v/>
      </c>
      <c r="S44" s="874">
        <f>N44</f>
        <v/>
      </c>
      <c r="T44" s="874">
        <f>O44</f>
        <v/>
      </c>
      <c r="U44" s="874">
        <f>P44</f>
        <v/>
      </c>
      <c r="V44" s="870">
        <f>SUM(R44:U44)</f>
        <v/>
      </c>
      <c r="W44" s="871">
        <f>G44+L44+Q44+V44</f>
        <v/>
      </c>
      <c r="X44" s="837" t="n"/>
      <c r="Y44" s="770" t="n"/>
      <c r="Z44" s="770" t="n"/>
      <c r="AA44" s="770" t="n"/>
      <c r="AB44" s="770" t="n"/>
      <c r="AC44" s="770" t="n"/>
      <c r="AD44" s="770" t="n"/>
      <c r="AE44" s="770" t="n"/>
      <c r="AF44" s="770" t="n"/>
      <c r="AG44" s="770" t="n"/>
      <c r="AH44" s="770" t="n"/>
    </row>
    <row r="45" hidden="1" outlineLevel="1" ht="17.1" customFormat="1" customHeight="1" s="535">
      <c r="B45" s="547" t="inlineStr">
        <is>
          <t>T&amp;E</t>
        </is>
      </c>
      <c r="C45" s="855" t="inlineStr">
        <is>
          <t>FP&amp;A</t>
        </is>
      </c>
      <c r="E45" s="868" t="n"/>
      <c r="F45" s="855">
        <f>F12*$F44</f>
        <v/>
      </c>
      <c r="G45" s="869">
        <f>SUM(E45:F45)</f>
        <v/>
      </c>
      <c r="H45" s="855">
        <f>H12*$F44</f>
        <v/>
      </c>
      <c r="I45" s="855">
        <f>I12*$F44</f>
        <v/>
      </c>
      <c r="J45" s="855">
        <f>J12*$F44</f>
        <v/>
      </c>
      <c r="K45" s="855">
        <f>K12*$F44</f>
        <v/>
      </c>
      <c r="L45" s="869">
        <f>SUM(H45:K45)</f>
        <v/>
      </c>
      <c r="M45" s="855">
        <f>M12*$F44</f>
        <v/>
      </c>
      <c r="N45" s="855">
        <f>N12*$F44</f>
        <v/>
      </c>
      <c r="O45" s="855">
        <f>O12*$F44</f>
        <v/>
      </c>
      <c r="P45" s="855">
        <f>P12*$F44</f>
        <v/>
      </c>
      <c r="Q45" s="870">
        <f>SUM(M45:P45)</f>
        <v/>
      </c>
      <c r="R45" s="855">
        <f>R12*$F44</f>
        <v/>
      </c>
      <c r="S45" s="855">
        <f>S12*$F44</f>
        <v/>
      </c>
      <c r="T45" s="855">
        <f>T12*$F44</f>
        <v/>
      </c>
      <c r="U45" s="855">
        <f>U12*$F44</f>
        <v/>
      </c>
      <c r="V45" s="870">
        <f>SUM(R45:U45)</f>
        <v/>
      </c>
      <c r="W45" s="871">
        <f>G45+L45+Q45+V45</f>
        <v/>
      </c>
      <c r="X45" s="837" t="n"/>
      <c r="Z45" s="770" t="n"/>
      <c r="AA45" s="770" t="n"/>
      <c r="AB45" s="770" t="n"/>
      <c r="AC45" s="770" t="n"/>
      <c r="AD45" s="770" t="n"/>
      <c r="AE45" s="770" t="n"/>
      <c r="AF45" s="770" t="n"/>
      <c r="AG45" s="770" t="n"/>
      <c r="AH45" s="770" t="n"/>
    </row>
    <row r="46" hidden="1" outlineLevel="1" ht="17.1" customFormat="1" customHeight="1" s="535">
      <c r="B46" s="547" t="inlineStr">
        <is>
          <t>Facility and Office Exp</t>
        </is>
      </c>
      <c r="C46" s="855" t="inlineStr">
        <is>
          <t>Peter</t>
        </is>
      </c>
      <c r="E46" s="868" t="n"/>
      <c r="F46" s="855">
        <f>'8) Facilities'!I41</f>
        <v/>
      </c>
      <c r="G46" s="869">
        <f>SUM(E46:F46)</f>
        <v/>
      </c>
      <c r="H46" s="855">
        <f>'8) Facilities'!J41/H14*H12</f>
        <v/>
      </c>
      <c r="I46" s="855">
        <f>'8) Facilities'!K41/I14*I12</f>
        <v/>
      </c>
      <c r="J46" s="855">
        <f>'8) Facilities'!L41/J14*J12</f>
        <v/>
      </c>
      <c r="K46" s="855">
        <f>'8) Facilities'!M41/K14*K12</f>
        <v/>
      </c>
      <c r="L46" s="869">
        <f>SUM(H46:K46)</f>
        <v/>
      </c>
      <c r="M46" s="856">
        <f>K46</f>
        <v/>
      </c>
      <c r="N46" s="856">
        <f>M46</f>
        <v/>
      </c>
      <c r="O46" s="856">
        <f>M46</f>
        <v/>
      </c>
      <c r="P46" s="856">
        <f>N46</f>
        <v/>
      </c>
      <c r="Q46" s="870">
        <f>SUM(M46:P46)</f>
        <v/>
      </c>
      <c r="R46" s="876">
        <f>P46</f>
        <v/>
      </c>
      <c r="S46" s="856">
        <f>R46</f>
        <v/>
      </c>
      <c r="T46" s="856">
        <f>R46</f>
        <v/>
      </c>
      <c r="U46" s="856">
        <f>S46</f>
        <v/>
      </c>
      <c r="V46" s="870">
        <f>SUM(R46:U46)</f>
        <v/>
      </c>
      <c r="W46" s="871">
        <f>G46+L46+Q46+V46</f>
        <v/>
      </c>
      <c r="X46" s="837" t="n"/>
      <c r="Y46" s="545" t="n"/>
      <c r="AB46" s="545" t="n"/>
      <c r="AC46" s="545" t="n"/>
      <c r="AD46" s="545" t="n"/>
      <c r="AE46" s="545" t="n"/>
      <c r="AF46" s="545" t="n"/>
      <c r="AG46" s="545" t="n"/>
      <c r="AH46" s="545" t="n"/>
    </row>
    <row r="47" hidden="1" outlineLevel="1" ht="17.1" customFormat="1" customHeight="1" s="535">
      <c r="B47" s="547" t="inlineStr">
        <is>
          <t>Founder holdback</t>
        </is>
      </c>
      <c r="C47" s="855" t="inlineStr">
        <is>
          <t>Jonathan W</t>
        </is>
      </c>
      <c r="E47" s="861" t="n"/>
      <c r="F47" s="865" t="n"/>
      <c r="G47" s="863">
        <f>SUM(E47:F47)</f>
        <v/>
      </c>
      <c r="H47" s="865" t="n"/>
      <c r="I47" s="865" t="n"/>
      <c r="J47" s="865" t="n"/>
      <c r="K47" s="865" t="n">
        <v>375000</v>
      </c>
      <c r="L47" s="863">
        <f>SUM(H47:K47)</f>
        <v/>
      </c>
      <c r="M47" s="865">
        <f>J47</f>
        <v/>
      </c>
      <c r="N47" s="865">
        <f>M47</f>
        <v/>
      </c>
      <c r="O47" s="865">
        <f>N47</f>
        <v/>
      </c>
      <c r="P47" s="865">
        <f>K47</f>
        <v/>
      </c>
      <c r="Q47" s="866">
        <f>SUM(M47:P47)</f>
        <v/>
      </c>
      <c r="R47" s="877">
        <f>M47</f>
        <v/>
      </c>
      <c r="S47" s="865">
        <f>R47</f>
        <v/>
      </c>
      <c r="T47" s="865">
        <f>S47</f>
        <v/>
      </c>
      <c r="U47" s="865" t="n">
        <v>750000</v>
      </c>
      <c r="V47" s="866">
        <f>SUM(R47:U47)</f>
        <v/>
      </c>
      <c r="W47" s="867">
        <f>G47+L47+Q47+V47</f>
        <v/>
      </c>
      <c r="X47" s="837" t="n"/>
      <c r="Y47" s="545" t="n"/>
      <c r="AA47" s="770" t="n"/>
    </row>
    <row r="48" hidden="1" outlineLevel="1" ht="17.1" customFormat="1" customHeight="1" s="535">
      <c r="B48" s="547" t="inlineStr">
        <is>
          <t>IT Costs - security Blackduck</t>
        </is>
      </c>
      <c r="C48" s="855" t="inlineStr">
        <is>
          <t>Jonathan W</t>
        </is>
      </c>
      <c r="E48" s="861">
        <f>'13) IT- Security'!$H$41</f>
        <v/>
      </c>
      <c r="F48" s="865" t="n"/>
      <c r="G48" s="863">
        <f>SUM(E48:F48)</f>
        <v/>
      </c>
      <c r="H48" s="865" t="n"/>
      <c r="I48" s="865" t="n"/>
      <c r="J48" s="865" t="n"/>
      <c r="K48" s="865" t="n"/>
      <c r="L48" s="863">
        <f>SUM(H48:K48)</f>
        <v/>
      </c>
      <c r="M48" s="865">
        <f>J48</f>
        <v/>
      </c>
      <c r="N48" s="865">
        <f>M48</f>
        <v/>
      </c>
      <c r="O48" s="865">
        <f>N48</f>
        <v/>
      </c>
      <c r="P48" s="865">
        <f>M48</f>
        <v/>
      </c>
      <c r="Q48" s="866">
        <f>SUM(M48:P48)</f>
        <v/>
      </c>
      <c r="R48" s="877">
        <f>M48</f>
        <v/>
      </c>
      <c r="S48" s="865">
        <f>R48</f>
        <v/>
      </c>
      <c r="T48" s="865">
        <f>S48</f>
        <v/>
      </c>
      <c r="U48" s="865">
        <f>S48</f>
        <v/>
      </c>
      <c r="V48" s="866">
        <f>SUM(R48:U48)</f>
        <v/>
      </c>
      <c r="W48" s="867">
        <f>G48+L48+Q48+V48</f>
        <v/>
      </c>
      <c r="X48" s="837" t="n"/>
      <c r="Y48" s="545" t="n"/>
      <c r="AA48" s="770" t="n"/>
    </row>
    <row r="49" hidden="1" outlineLevel="1" ht="17.1" customFormat="1" customHeight="1" s="535">
      <c r="B49" s="547" t="inlineStr">
        <is>
          <t>IT Costs - laptops etc</t>
        </is>
      </c>
      <c r="C49" s="855" t="inlineStr">
        <is>
          <t>Bill Bragg</t>
        </is>
      </c>
      <c r="E49" s="861" t="n"/>
      <c r="F49" s="865">
        <f>'11) IT-Infrastructure'!$I$41-F50</f>
        <v/>
      </c>
      <c r="G49" s="863">
        <f>SUM(E49:F49)</f>
        <v/>
      </c>
      <c r="H49" s="865" t="n"/>
      <c r="I49" s="865" t="n"/>
      <c r="J49" s="865" t="n"/>
      <c r="K49" s="865" t="n"/>
      <c r="L49" s="863">
        <f>SUM(H49:K49)</f>
        <v/>
      </c>
      <c r="M49" s="865">
        <f>J49</f>
        <v/>
      </c>
      <c r="N49" s="865">
        <f>M49</f>
        <v/>
      </c>
      <c r="O49" s="865">
        <f>N49</f>
        <v/>
      </c>
      <c r="P49" s="865">
        <f>M49</f>
        <v/>
      </c>
      <c r="Q49" s="866">
        <f>SUM(M49:P49)</f>
        <v/>
      </c>
      <c r="R49" s="877">
        <f>M49</f>
        <v/>
      </c>
      <c r="S49" s="865">
        <f>R49</f>
        <v/>
      </c>
      <c r="T49" s="865">
        <f>S49</f>
        <v/>
      </c>
      <c r="U49" s="865">
        <f>S49</f>
        <v/>
      </c>
      <c r="V49" s="866">
        <f>SUM(R49:U49)</f>
        <v/>
      </c>
      <c r="W49" s="867">
        <f>G49+L49+Q49+V49</f>
        <v/>
      </c>
      <c r="X49" s="837" t="n"/>
      <c r="Y49" s="545" t="n"/>
      <c r="AA49" s="770" t="n"/>
    </row>
    <row r="50" hidden="1" outlineLevel="1" ht="17.1" customFormat="1" customHeight="1" s="535">
      <c r="B50" s="547" t="inlineStr">
        <is>
          <t>IT Costs - wi fi&amp;special software</t>
        </is>
      </c>
      <c r="C50" s="855" t="inlineStr">
        <is>
          <t>Bill Bragg</t>
        </is>
      </c>
      <c r="E50" s="854" t="n"/>
      <c r="F50" s="855">
        <f>'11) IT-Infrastructure'!$I$31+'11) IT-Infrastructure'!I34</f>
        <v/>
      </c>
      <c r="G50" s="869">
        <f>SUM(E50:F50)</f>
        <v/>
      </c>
      <c r="H50" s="873">
        <f>'11) IT-Infrastructure'!$I$31+'11) IT-Infrastructure'!K34</f>
        <v/>
      </c>
      <c r="I50" s="873">
        <f>'11) IT-Infrastructure'!$I$31+'11) IT-Infrastructure'!L34</f>
        <v/>
      </c>
      <c r="J50" s="873">
        <f>'11) IT-Infrastructure'!$I$31+'11) IT-Infrastructure'!M34</f>
        <v/>
      </c>
      <c r="K50" s="855">
        <f>'11) IT-Infrastructure'!$I$31+'11) IT-Infrastructure'!N34</f>
        <v/>
      </c>
      <c r="L50" s="869">
        <f>SUM(H50:K50)</f>
        <v/>
      </c>
      <c r="M50" s="856">
        <f>K50</f>
        <v/>
      </c>
      <c r="N50" s="856">
        <f>M50</f>
        <v/>
      </c>
      <c r="O50" s="856">
        <f>N50</f>
        <v/>
      </c>
      <c r="P50" s="856">
        <f>M50</f>
        <v/>
      </c>
      <c r="Q50" s="870">
        <f>SUM(M50:P50)</f>
        <v/>
      </c>
      <c r="R50" s="876">
        <f>M50</f>
        <v/>
      </c>
      <c r="S50" s="856">
        <f>R50</f>
        <v/>
      </c>
      <c r="T50" s="856">
        <f>S50</f>
        <v/>
      </c>
      <c r="U50" s="856">
        <f>S50</f>
        <v/>
      </c>
      <c r="V50" s="870">
        <f>SUM(R50:U50)</f>
        <v/>
      </c>
      <c r="W50" s="871">
        <f>G50+L50+Q50+V50</f>
        <v/>
      </c>
      <c r="X50" s="837" t="n"/>
      <c r="Y50" s="545" t="n"/>
    </row>
    <row r="51" hidden="1" outlineLevel="1" ht="17.1" customFormat="1" customHeight="1" s="535">
      <c r="B51" s="547" t="inlineStr">
        <is>
          <t>Valuation reviews - BVA+External cost</t>
        </is>
      </c>
      <c r="C51" s="855" t="inlineStr">
        <is>
          <t>Heather</t>
        </is>
      </c>
      <c r="E51" s="878" t="n"/>
      <c r="F51" s="865">
        <f>15000+30000</f>
        <v/>
      </c>
      <c r="G51" s="863">
        <f>SUM(E51:F51)</f>
        <v/>
      </c>
      <c r="H51" s="865" t="n"/>
      <c r="I51" s="865" t="n"/>
      <c r="J51" s="865" t="n"/>
      <c r="K51" s="865" t="n"/>
      <c r="L51" s="863">
        <f>SUM(H51:K51)</f>
        <v/>
      </c>
      <c r="M51" s="865" t="n"/>
      <c r="N51" s="865" t="n"/>
      <c r="O51" s="865" t="n"/>
      <c r="P51" s="865" t="n"/>
      <c r="Q51" s="866">
        <f>SUM(M51:P51)</f>
        <v/>
      </c>
      <c r="R51" s="865" t="n"/>
      <c r="S51" s="865" t="n"/>
      <c r="T51" s="865" t="n"/>
      <c r="U51" s="865" t="n"/>
      <c r="V51" s="866">
        <f>SUM(R51:U51)</f>
        <v/>
      </c>
      <c r="W51" s="867">
        <f>G51+L51+Q51+V51</f>
        <v/>
      </c>
      <c r="X51" s="837" t="n"/>
      <c r="Y51" s="604" t="n"/>
    </row>
    <row r="52" hidden="1" outlineLevel="1" ht="17.1" customFormat="1" customHeight="1" s="535">
      <c r="B52" s="547" t="inlineStr">
        <is>
          <t>Legal expenses - external counsel</t>
        </is>
      </c>
      <c r="C52" s="855" t="inlineStr">
        <is>
          <t>Nisha</t>
        </is>
      </c>
      <c r="E52" s="878" t="n"/>
      <c r="F52" s="865" t="n">
        <v>425000</v>
      </c>
      <c r="G52" s="863">
        <f>SUM(E52:F52)</f>
        <v/>
      </c>
      <c r="H52" s="865" t="n"/>
      <c r="I52" s="865" t="n"/>
      <c r="J52" s="865" t="n"/>
      <c r="K52" s="865" t="n"/>
      <c r="L52" s="863">
        <f>SUM(H52:K52)</f>
        <v/>
      </c>
      <c r="M52" s="865" t="n"/>
      <c r="N52" s="865" t="n"/>
      <c r="O52" s="865" t="n"/>
      <c r="P52" s="865" t="n"/>
      <c r="Q52" s="866">
        <f>SUM(M52:P52)</f>
        <v/>
      </c>
      <c r="R52" s="865" t="n"/>
      <c r="S52" s="865" t="n"/>
      <c r="T52" s="865" t="n"/>
      <c r="U52" s="865" t="n"/>
      <c r="V52" s="866">
        <f>SUM(R52:U52)</f>
        <v/>
      </c>
      <c r="W52" s="867">
        <f>G52+L52+Q52+V52</f>
        <v/>
      </c>
      <c r="X52" s="837" t="n"/>
      <c r="Y52" s="545" t="n"/>
    </row>
    <row r="53" hidden="1" outlineLevel="1" customFormat="1" s="535">
      <c r="B53" s="547" t="inlineStr">
        <is>
          <t>Engineering - Agora + other aps</t>
        </is>
      </c>
      <c r="C53" s="855" t="inlineStr">
        <is>
          <t>Paul Quinn</t>
        </is>
      </c>
      <c r="E53" s="868" t="n"/>
      <c r="F53" s="855">
        <f>'2) SW Eng'!$I$41</f>
        <v/>
      </c>
      <c r="G53" s="869">
        <f>SUM(E53:F53)</f>
        <v/>
      </c>
      <c r="H53" s="855">
        <f>'2) SW Eng'!J41</f>
        <v/>
      </c>
      <c r="I53" s="879">
        <f>'2) SW Eng'!K41</f>
        <v/>
      </c>
      <c r="J53" s="879">
        <f>'2) SW Eng'!L41</f>
        <v/>
      </c>
      <c r="K53" s="879">
        <f>'2) SW Eng'!M41</f>
        <v/>
      </c>
      <c r="L53" s="869">
        <f>SUM(H53:K53)</f>
        <v/>
      </c>
      <c r="M53" s="855">
        <f>'2) SW Eng'!N41</f>
        <v/>
      </c>
      <c r="N53" s="879">
        <f>'2) SW Eng'!O41</f>
        <v/>
      </c>
      <c r="O53" s="879">
        <f>'2) SW Eng'!P41</f>
        <v/>
      </c>
      <c r="P53" s="879">
        <f>'2) SW Eng'!Q41</f>
        <v/>
      </c>
      <c r="Q53" s="870">
        <f>SUM(M53:P53)</f>
        <v/>
      </c>
      <c r="R53" s="855">
        <f>'2) SW Eng'!P41</f>
        <v/>
      </c>
      <c r="S53" s="855">
        <f>'2) SW Eng'!Q41</f>
        <v/>
      </c>
      <c r="T53" s="855">
        <f>'2) SW Eng'!R41</f>
        <v/>
      </c>
      <c r="U53" s="855">
        <f>'2) SW Eng'!S41</f>
        <v/>
      </c>
      <c r="V53" s="870">
        <f>SUM(R53:U53)</f>
        <v/>
      </c>
      <c r="W53" s="871">
        <f>G53+L53+Q53+V53</f>
        <v/>
      </c>
      <c r="X53" s="837" t="n"/>
      <c r="Y53" s="545" t="n"/>
    </row>
    <row r="54" hidden="1" outlineLevel="1" customFormat="1" s="535">
      <c r="B54" s="547" t="inlineStr">
        <is>
          <t>Operations</t>
        </is>
      </c>
      <c r="C54" s="855" t="inlineStr">
        <is>
          <t>Bobinder</t>
        </is>
      </c>
      <c r="E54" s="854">
        <f>'14) Operations'!$H$41</f>
        <v/>
      </c>
      <c r="F54" s="855">
        <f>E54</f>
        <v/>
      </c>
      <c r="G54" s="869">
        <f>SUM(E54:F54)</f>
        <v/>
      </c>
      <c r="H54" s="855">
        <f>E54</f>
        <v/>
      </c>
      <c r="I54" s="855">
        <f>H54</f>
        <v/>
      </c>
      <c r="J54" s="855" t="n"/>
      <c r="K54" s="855" t="n"/>
      <c r="L54" s="869">
        <f>SUM(H54:K54)</f>
        <v/>
      </c>
      <c r="M54" s="855" t="n"/>
      <c r="N54" s="855" t="n"/>
      <c r="O54" s="855" t="n"/>
      <c r="P54" s="855" t="n"/>
      <c r="Q54" s="870">
        <f>SUM(M54:P54)</f>
        <v/>
      </c>
      <c r="R54" s="855" t="n"/>
      <c r="S54" s="855" t="n"/>
      <c r="T54" s="855" t="n"/>
      <c r="U54" s="855" t="n"/>
      <c r="V54" s="870">
        <f>SUM(R54:U54)</f>
        <v/>
      </c>
      <c r="W54" s="871">
        <f>G54+L54+Q54+V54</f>
        <v/>
      </c>
      <c r="X54" s="837" t="n"/>
      <c r="Y54" s="545" t="n"/>
    </row>
    <row r="55" hidden="1" outlineLevel="1" customFormat="1" s="535">
      <c r="B55" s="547" t="inlineStr">
        <is>
          <t>Tax - compliance costs</t>
        </is>
      </c>
      <c r="C55" s="855" t="inlineStr">
        <is>
          <t>Anu/Harvey</t>
        </is>
      </c>
      <c r="E55" s="868" t="n"/>
      <c r="F55" s="855" t="n"/>
      <c r="G55" s="869">
        <f>SUM(E55:F55)</f>
        <v/>
      </c>
      <c r="H55" s="855" t="n"/>
      <c r="I55" s="855" t="n">
        <v>12000</v>
      </c>
      <c r="J55" s="855" t="n"/>
      <c r="K55" s="855" t="n"/>
      <c r="L55" s="869">
        <f>SUM(H55:K55)</f>
        <v/>
      </c>
      <c r="M55" s="856" t="n"/>
      <c r="N55" s="856">
        <f>I55</f>
        <v/>
      </c>
      <c r="O55" s="856" t="n"/>
      <c r="P55" s="856" t="n"/>
      <c r="Q55" s="870">
        <f>SUM(M55:P55)</f>
        <v/>
      </c>
      <c r="R55" s="876" t="n"/>
      <c r="S55" s="856">
        <f>I55</f>
        <v/>
      </c>
      <c r="T55" s="856" t="n"/>
      <c r="U55" s="856" t="n"/>
      <c r="V55" s="870">
        <f>SUM(R55:U55)</f>
        <v/>
      </c>
      <c r="W55" s="871">
        <f>G55+L55+Q55+V55</f>
        <v/>
      </c>
      <c r="X55" s="837" t="n"/>
      <c r="Y55" s="545" t="n"/>
    </row>
    <row r="56" hidden="1" outlineLevel="1" customFormat="1" s="535">
      <c r="B56" s="547" t="inlineStr">
        <is>
          <t>Tax - stamp duty</t>
        </is>
      </c>
      <c r="C56" s="855" t="inlineStr">
        <is>
          <t>Legal</t>
        </is>
      </c>
      <c r="E56" s="868" t="n"/>
      <c r="F56" s="855">
        <f>7500000*50%*0.2%</f>
        <v/>
      </c>
      <c r="G56" s="869">
        <f>SUM(E56:F56)</f>
        <v/>
      </c>
      <c r="H56" s="855" t="n"/>
      <c r="I56" s="855" t="n"/>
      <c r="J56" s="855" t="n"/>
      <c r="K56" s="855" t="n"/>
      <c r="L56" s="869">
        <f>SUM(H56:K56)</f>
        <v/>
      </c>
      <c r="M56" s="855" t="n"/>
      <c r="N56" s="855">
        <f>I56</f>
        <v/>
      </c>
      <c r="O56" s="855" t="n"/>
      <c r="P56" s="855" t="n"/>
      <c r="Q56" s="870">
        <f>SUM(M56:P56)</f>
        <v/>
      </c>
      <c r="R56" s="879" t="n"/>
      <c r="S56" s="855">
        <f>I56</f>
        <v/>
      </c>
      <c r="T56" s="855" t="n"/>
      <c r="U56" s="855" t="n"/>
      <c r="V56" s="870">
        <f>SUM(R56:U56)</f>
        <v/>
      </c>
      <c r="W56" s="871">
        <f>G56+L56+Q56+V56</f>
        <v/>
      </c>
      <c r="X56" s="837" t="n"/>
      <c r="Y56" s="550" t="n"/>
      <c r="Z56" s="550" t="n"/>
      <c r="AA56" s="550" t="n"/>
      <c r="AB56" s="550" t="n"/>
      <c r="AC56" s="550" t="n"/>
      <c r="AD56" s="550" t="n"/>
      <c r="AE56" s="550" t="n"/>
      <c r="AF56" s="550" t="n"/>
      <c r="AG56" s="550" t="n"/>
      <c r="AH56" s="550" t="n"/>
      <c r="AI56" s="550" t="n"/>
      <c r="AJ56" s="550" t="n"/>
      <c r="AK56" s="550" t="n"/>
      <c r="AL56" s="550" t="n"/>
      <c r="AM56" s="550" t="n"/>
      <c r="AN56" s="550" t="n"/>
      <c r="AO56" s="550" t="n"/>
    </row>
    <row r="57" hidden="1" outlineLevel="1" customFormat="1" s="535">
      <c r="B57" s="547" t="inlineStr">
        <is>
          <t>Other</t>
        </is>
      </c>
      <c r="C57" s="855" t="n"/>
      <c r="E57" s="868" t="n"/>
      <c r="F57" s="855" t="n">
        <v>25000</v>
      </c>
      <c r="G57" s="869">
        <f>SUM(E57:F57)</f>
        <v/>
      </c>
      <c r="H57" s="855">
        <f>F57</f>
        <v/>
      </c>
      <c r="I57" s="855">
        <f>G57</f>
        <v/>
      </c>
      <c r="J57" s="855">
        <f>H57</f>
        <v/>
      </c>
      <c r="K57" s="855">
        <f>I57</f>
        <v/>
      </c>
      <c r="L57" s="869">
        <f>SUM(H57:K57)</f>
        <v/>
      </c>
      <c r="M57" s="855">
        <f>H57</f>
        <v/>
      </c>
      <c r="N57" s="855">
        <f>I57</f>
        <v/>
      </c>
      <c r="O57" s="855">
        <f>J57</f>
        <v/>
      </c>
      <c r="P57" s="855">
        <f>K57</f>
        <v/>
      </c>
      <c r="Q57" s="870">
        <f>SUM(M57:P57)</f>
        <v/>
      </c>
      <c r="R57" s="855">
        <f>M57</f>
        <v/>
      </c>
      <c r="S57" s="855">
        <f>N57</f>
        <v/>
      </c>
      <c r="T57" s="855">
        <f>O57</f>
        <v/>
      </c>
      <c r="U57" s="855">
        <f>P57</f>
        <v/>
      </c>
      <c r="V57" s="870">
        <f>SUM(R57:U57)</f>
        <v/>
      </c>
      <c r="W57" s="871">
        <f>G57+L57+Q57+V57</f>
        <v/>
      </c>
      <c r="X57" s="837" t="n"/>
      <c r="Y57" s="545" t="n"/>
    </row>
    <row r="58" hidden="1" outlineLevel="1" customFormat="1" s="544">
      <c r="B58" s="754" t="inlineStr">
        <is>
          <t>Total Operating costs</t>
        </is>
      </c>
      <c r="C58" s="880" t="n"/>
      <c r="E58" s="881" t="n"/>
      <c r="F58" s="882">
        <f>F43+F45+SUM(F46:F57)</f>
        <v/>
      </c>
      <c r="G58" s="883">
        <f>G43+G45+SUM(G46:G57)</f>
        <v/>
      </c>
      <c r="H58" s="882">
        <f>H43+H45+SUM(H46:H57)</f>
        <v/>
      </c>
      <c r="I58" s="882">
        <f>I43+I45+SUM(I46:I57)</f>
        <v/>
      </c>
      <c r="J58" s="882">
        <f>J43+J45+SUM(J46:J57)</f>
        <v/>
      </c>
      <c r="K58" s="882">
        <f>K43+K45+SUM(K46:K57)</f>
        <v/>
      </c>
      <c r="L58" s="883">
        <f>L43+L45+SUM(L46:L57)</f>
        <v/>
      </c>
      <c r="M58" s="882">
        <f>M43+M45+SUM(M46:M57)</f>
        <v/>
      </c>
      <c r="N58" s="882">
        <f>N43+N45+SUM(N46:N57)</f>
        <v/>
      </c>
      <c r="O58" s="882">
        <f>O43+O45+SUM(O46:O57)</f>
        <v/>
      </c>
      <c r="P58" s="882">
        <f>P43+P45+SUM(P46:P57)</f>
        <v/>
      </c>
      <c r="Q58" s="884">
        <f>Q43+Q45+SUM(Q46:Q57)</f>
        <v/>
      </c>
      <c r="R58" s="882">
        <f>R43+R45+SUM(R46:R57)</f>
        <v/>
      </c>
      <c r="S58" s="882">
        <f>S43+S45+SUM(S46:S57)</f>
        <v/>
      </c>
      <c r="T58" s="882">
        <f>T43+T45+SUM(T46:T57)</f>
        <v/>
      </c>
      <c r="U58" s="882">
        <f>U43+U45+SUM(U46:U57)</f>
        <v/>
      </c>
      <c r="V58" s="884">
        <f>V43+V45+SUM(V46:V57)</f>
        <v/>
      </c>
      <c r="W58" s="885">
        <f>G58+L58+Q58+V58</f>
        <v/>
      </c>
      <c r="X58" s="882" t="n"/>
      <c r="Y58" s="556" t="n"/>
    </row>
    <row r="59" hidden="1" outlineLevel="1" collapsed="1" customFormat="1" s="577">
      <c r="B59" s="755" t="inlineStr">
        <is>
          <t>Total Costs associated with current employees</t>
        </is>
      </c>
      <c r="C59" s="557" t="n"/>
      <c r="D59" s="557" t="n"/>
      <c r="E59" s="886">
        <f>E36+E38+E40+E41+E42+E45+E46+E50+E51+E55+E53+E52+E57+E49+E54+E48+E30+E31+E47</f>
        <v/>
      </c>
      <c r="F59" s="887">
        <f>F36+F38+F40+F41+F42+F45+F46+F50+F51+F55+F53+F52+F57+F49+F54+F48+F30+F31+F47</f>
        <v/>
      </c>
      <c r="G59" s="888">
        <f>G36+G38+G40+G41+G42+G45+G46+G50+G51+G55+G53+G52+G57+G49+G54+G48+G30+G31</f>
        <v/>
      </c>
      <c r="H59" s="887">
        <f>H36+H38+H40+H41+H42+H45+H46+H50+H51+H55+H53+H52+H57+H49+H54+H48+H30+H31+H47</f>
        <v/>
      </c>
      <c r="I59" s="887">
        <f>I36+I38+I40+I41+I42+I45+I46+I50+I51+I55+I53+I52+I57+I49+I54+I48+I30+I31+I47</f>
        <v/>
      </c>
      <c r="J59" s="887">
        <f>J36+J38+J40+J41+J42+J45+J46+J50+J51+J55+J53+J52+J57+J49+J54+J48+J30+J31+J47</f>
        <v/>
      </c>
      <c r="K59" s="887">
        <f>K36+K38+K40+K41+K42+K45+K46+K50+K51+K55+K53+K52+K57+K49+K54+K48+K30+K31+K47</f>
        <v/>
      </c>
      <c r="L59" s="888">
        <f>L36+L38+L40+L41+L42+L45+L46+L50+L51+L55+L53+L52+L57+L49+L54+L48+L30+L31+L47</f>
        <v/>
      </c>
      <c r="M59" s="887">
        <f>M36+M38+M40+M41+M42+M45+M46+M50+M51+M55+M53+M52+M57+M49+M54+M48+M30+M31</f>
        <v/>
      </c>
      <c r="N59" s="887">
        <f>N36+N38+N40+N41+N42+N45+N46+N50+N51+N55+N53+N52+N57+N49+N54+N48+N30+N31</f>
        <v/>
      </c>
      <c r="O59" s="887">
        <f>O36+O38+O40+O41+O42+O45+O46+O50+O51+O55+O53+O52+O57+O49+O54+O48+O30+O31</f>
        <v/>
      </c>
      <c r="P59" s="887">
        <f>P36+P38+P40+P41+P42+P45+P46+P50+P51+P55+P53+P52+P57+P49+P54+P48+P30+P31</f>
        <v/>
      </c>
      <c r="Q59" s="887">
        <f>Q36+Q38+Q40+Q41+Q42+Q45+Q46+Q50+Q51+Q55+Q53+Q52+Q57+Q49+Q54+Q48+Q30+Q31</f>
        <v/>
      </c>
      <c r="R59" s="887">
        <f>R36+R38+R40+R41+R42+R45+R46+R50+R51+R55+R53+R52+R57+R49+R54+R48+R30+R31</f>
        <v/>
      </c>
      <c r="S59" s="887">
        <f>S36+S38+S40+S41+S42+S45+S46+S50+S51+S55+S53+S52+S57+S49+S54+S48+S30+S31</f>
        <v/>
      </c>
      <c r="T59" s="887">
        <f>T36+T38+T40+T41+T42+T45+T46+T50+T51+T55+T53+T52+T57+T49+T54+T48+T30+T31</f>
        <v/>
      </c>
      <c r="U59" s="887">
        <f>U36+U38+U40+U41+U42+U45+U46+U50+U51+U55+U53+U52+U57+U49+U54+U48+U30+U31</f>
        <v/>
      </c>
      <c r="V59" s="887">
        <f>V36+V38+V40+V41+V42+V45+V46+V50+V51+V55+V53+V52+V57+V49+V54+V48+V30+V31</f>
        <v/>
      </c>
      <c r="W59" s="887">
        <f>W36+W38+W40+W41+W42+W45+W46+W50+W51+W55+W53+W52+W57+W49+W54+W48+W30+W31</f>
        <v/>
      </c>
      <c r="X59" s="882" t="n"/>
      <c r="Y59" s="545" t="n"/>
    </row>
    <row r="60" hidden="1" outlineLevel="2" customFormat="1" s="577">
      <c r="B60" s="756" t="inlineStr">
        <is>
          <t>Check</t>
        </is>
      </c>
      <c r="C60" s="544" t="n"/>
      <c r="D60" s="544" t="n"/>
      <c r="E60" s="868" t="n"/>
      <c r="F60" s="837" t="n"/>
      <c r="G60" s="889">
        <f>G59</f>
        <v/>
      </c>
      <c r="H60" s="837" t="n"/>
      <c r="I60" s="837" t="n"/>
      <c r="J60" s="837" t="n"/>
      <c r="K60" s="837" t="n"/>
      <c r="L60" s="889">
        <f>L59</f>
        <v/>
      </c>
      <c r="M60" s="837" t="n"/>
      <c r="N60" s="837" t="n"/>
      <c r="O60" s="837" t="n"/>
      <c r="P60" s="837" t="n"/>
      <c r="Q60" s="880">
        <f>Q59</f>
        <v/>
      </c>
      <c r="R60" s="837" t="n"/>
      <c r="S60" s="837" t="n"/>
      <c r="T60" s="837" t="n"/>
      <c r="U60" s="837" t="n"/>
      <c r="V60" s="880">
        <f>V59</f>
        <v/>
      </c>
      <c r="W60" s="890">
        <f>(G60+L60+Q60+V60)-W59</f>
        <v/>
      </c>
      <c r="X60" s="891" t="n"/>
      <c r="Y60" s="545" t="n"/>
    </row>
    <row r="61" hidden="1" outlineLevel="1" customFormat="1" s="577">
      <c r="B61" s="756" t="n"/>
      <c r="C61" s="544" t="n"/>
      <c r="D61" s="544" t="n"/>
      <c r="E61" s="868" t="n"/>
      <c r="F61" s="837" t="n"/>
      <c r="G61" s="889" t="n"/>
      <c r="H61" s="837" t="n"/>
      <c r="I61" s="837" t="n"/>
      <c r="J61" s="837" t="n"/>
      <c r="K61" s="837" t="n"/>
      <c r="L61" s="889" t="n"/>
      <c r="M61" s="837" t="n"/>
      <c r="N61" s="837" t="n"/>
      <c r="O61" s="837" t="n"/>
      <c r="P61" s="837" t="n"/>
      <c r="Q61" s="880" t="n"/>
      <c r="R61" s="837" t="n"/>
      <c r="S61" s="837" t="n"/>
      <c r="T61" s="837" t="n"/>
      <c r="U61" s="837" t="n"/>
      <c r="V61" s="880" t="n"/>
      <c r="W61" s="890" t="n"/>
      <c r="X61" s="891" t="n"/>
      <c r="Y61" s="545" t="n"/>
    </row>
    <row r="62" hidden="1" outlineLevel="1" customFormat="1" s="577">
      <c r="B62" s="756" t="n"/>
      <c r="C62" s="544" t="n"/>
      <c r="D62" s="544" t="n"/>
      <c r="E62" s="868" t="n"/>
      <c r="F62" s="486" t="n"/>
      <c r="G62" s="889" t="n"/>
      <c r="H62" s="486" t="n"/>
      <c r="I62" s="486" t="n"/>
      <c r="J62" s="486" t="n"/>
      <c r="K62" s="486" t="n"/>
      <c r="L62" s="889" t="n"/>
      <c r="M62" s="486" t="n">
        <v>0.05</v>
      </c>
      <c r="N62" s="486" t="n"/>
      <c r="O62" s="486" t="n"/>
      <c r="P62" s="486" t="n"/>
      <c r="Q62" s="880" t="n"/>
      <c r="R62" s="486" t="n">
        <v>0.05</v>
      </c>
      <c r="S62" s="486" t="n"/>
      <c r="T62" s="486" t="n"/>
      <c r="U62" s="486" t="n"/>
      <c r="V62" s="880" t="n"/>
      <c r="W62" s="890" t="n"/>
      <c r="X62" s="891" t="n"/>
      <c r="Y62" s="545" t="n"/>
    </row>
    <row r="63" hidden="1" outlineLevel="3" collapsed="1" customFormat="1" s="604">
      <c r="B63" s="703" t="inlineStr">
        <is>
          <t>Gross Wages</t>
        </is>
      </c>
      <c r="C63" s="851" t="n"/>
      <c r="D63" s="851" t="n"/>
      <c r="E63" s="892" t="n"/>
      <c r="F63" s="853">
        <f>((650000*0.12755)*F13)/4</f>
        <v/>
      </c>
      <c r="G63" s="869">
        <f>SUM(E63:F63)</f>
        <v/>
      </c>
      <c r="H63" s="853">
        <f>((650000*0.12755)*H13)/4</f>
        <v/>
      </c>
      <c r="I63" s="853">
        <f>((650000*0.12755)*I13)/4</f>
        <v/>
      </c>
      <c r="J63" s="853">
        <f>((650000*0.12755)*J13)/4</f>
        <v/>
      </c>
      <c r="K63" s="853">
        <f>((650000*0.12755)*K13)/4</f>
        <v/>
      </c>
      <c r="L63" s="869">
        <f>SUM(H63:K63)</f>
        <v/>
      </c>
      <c r="M63" s="853">
        <f>K63*(1+M62)</f>
        <v/>
      </c>
      <c r="N63" s="853">
        <f>M63</f>
        <v/>
      </c>
      <c r="O63" s="853">
        <f>N63</f>
        <v/>
      </c>
      <c r="P63" s="853">
        <f>O63</f>
        <v/>
      </c>
      <c r="Q63" s="870">
        <f>SUM(M63:P63)</f>
        <v/>
      </c>
      <c r="R63" s="853">
        <f>P63*(1+R62)</f>
        <v/>
      </c>
      <c r="S63" s="853">
        <f>R63</f>
        <v/>
      </c>
      <c r="T63" s="853">
        <f>S63</f>
        <v/>
      </c>
      <c r="U63" s="853">
        <f>T63</f>
        <v/>
      </c>
      <c r="V63" s="870">
        <f>SUM(R63:U63)</f>
        <v/>
      </c>
      <c r="W63" s="890">
        <f>G63+L63+Q63+V63</f>
        <v/>
      </c>
      <c r="X63" s="891" t="n"/>
      <c r="Y63" s="893" t="n"/>
      <c r="Z63" s="562">
        <f>(L63-L36)/L36</f>
        <v/>
      </c>
      <c r="AA63" s="770" t="n"/>
      <c r="AB63" s="770" t="n"/>
      <c r="AC63" s="770" t="n"/>
      <c r="AD63" s="770" t="n"/>
      <c r="AE63" s="770" t="n"/>
      <c r="AF63" s="770" t="n"/>
      <c r="AG63" s="770" t="n"/>
      <c r="AH63" s="770" t="n"/>
    </row>
    <row r="64" hidden="1" outlineLevel="4" customFormat="1" s="604">
      <c r="B64" s="752" t="inlineStr">
        <is>
          <t>Bonus % assumption</t>
        </is>
      </c>
      <c r="C64" s="851" t="n"/>
      <c r="D64" s="851" t="n"/>
      <c r="E64" s="892" t="n"/>
      <c r="F64" s="486" t="n">
        <v>0.1</v>
      </c>
      <c r="G64" s="869" t="n"/>
      <c r="H64" s="486">
        <f>F64</f>
        <v/>
      </c>
      <c r="I64" s="486">
        <f>H64</f>
        <v/>
      </c>
      <c r="J64" s="486">
        <f>I64</f>
        <v/>
      </c>
      <c r="K64" s="486">
        <f>J64</f>
        <v/>
      </c>
      <c r="L64" s="869" t="n"/>
      <c r="M64" s="486">
        <f>K64</f>
        <v/>
      </c>
      <c r="N64" s="486">
        <f>M64</f>
        <v/>
      </c>
      <c r="O64" s="486">
        <f>N64</f>
        <v/>
      </c>
      <c r="P64" s="486">
        <f>O64</f>
        <v/>
      </c>
      <c r="Q64" s="870" t="n"/>
      <c r="R64" s="486">
        <f>M64</f>
        <v/>
      </c>
      <c r="S64" s="486">
        <f>R64</f>
        <v/>
      </c>
      <c r="T64" s="486">
        <f>S64</f>
        <v/>
      </c>
      <c r="U64" s="486">
        <f>T64</f>
        <v/>
      </c>
      <c r="V64" s="870" t="n"/>
      <c r="W64" s="890" t="n"/>
      <c r="X64" s="891" t="n"/>
      <c r="Y64" s="770" t="n"/>
      <c r="Z64" s="770" t="n"/>
      <c r="AA64" s="770" t="n"/>
      <c r="AB64" s="770" t="n"/>
      <c r="AC64" s="770" t="n"/>
      <c r="AD64" s="770" t="n"/>
      <c r="AE64" s="770" t="n"/>
      <c r="AF64" s="770" t="n"/>
      <c r="AG64" s="770" t="n"/>
      <c r="AH64" s="770" t="n"/>
      <c r="AI64" s="577" t="n"/>
    </row>
    <row r="65" hidden="1" outlineLevel="3" customFormat="1" s="604">
      <c r="B65" s="703" t="inlineStr">
        <is>
          <t>Bonus</t>
        </is>
      </c>
      <c r="C65" s="851" t="n"/>
      <c r="D65" s="851" t="n"/>
      <c r="E65" s="894" t="n"/>
      <c r="F65" s="895">
        <f>F63*F64</f>
        <v/>
      </c>
      <c r="G65" s="869">
        <f>SUM(E65:F65)</f>
        <v/>
      </c>
      <c r="H65" s="853">
        <f>H63*H64</f>
        <v/>
      </c>
      <c r="I65" s="853">
        <f>I63*I64</f>
        <v/>
      </c>
      <c r="J65" s="853">
        <f>J63*J64</f>
        <v/>
      </c>
      <c r="K65" s="853">
        <f>K63*K64</f>
        <v/>
      </c>
      <c r="L65" s="869">
        <f>SUM(H65:K65)</f>
        <v/>
      </c>
      <c r="M65" s="853">
        <f>M63*M64</f>
        <v/>
      </c>
      <c r="N65" s="853">
        <f>N63*N64</f>
        <v/>
      </c>
      <c r="O65" s="853">
        <f>O63*O64</f>
        <v/>
      </c>
      <c r="P65" s="853">
        <f>P63*P64</f>
        <v/>
      </c>
      <c r="Q65" s="870">
        <f>SUM(M65:P65)</f>
        <v/>
      </c>
      <c r="R65" s="853">
        <f>R63*R64</f>
        <v/>
      </c>
      <c r="S65" s="853">
        <f>S63*S64</f>
        <v/>
      </c>
      <c r="T65" s="853">
        <f>T63*T64</f>
        <v/>
      </c>
      <c r="U65" s="853">
        <f>U63*U64</f>
        <v/>
      </c>
      <c r="V65" s="870">
        <f>SUM(R65:U65)</f>
        <v/>
      </c>
      <c r="W65" s="890">
        <f>G65+L65+Q65+V65</f>
        <v/>
      </c>
      <c r="X65" s="891" t="n"/>
      <c r="Y65" s="770" t="n"/>
    </row>
    <row r="66" hidden="1" outlineLevel="4" customFormat="1" s="535">
      <c r="B66" s="752" t="inlineStr">
        <is>
          <t>Fringe assumption</t>
        </is>
      </c>
      <c r="C66" s="855" t="n"/>
      <c r="D66" s="837" t="n"/>
      <c r="E66" s="868" t="n"/>
      <c r="F66" s="472" t="n">
        <v>0.15</v>
      </c>
      <c r="G66" s="665">
        <f>F66</f>
        <v/>
      </c>
      <c r="H66" s="472">
        <f>G66</f>
        <v/>
      </c>
      <c r="I66" s="472">
        <f>H66</f>
        <v/>
      </c>
      <c r="J66" s="472">
        <f>I66</f>
        <v/>
      </c>
      <c r="K66" s="472">
        <f>J66</f>
        <v/>
      </c>
      <c r="L66" s="665">
        <f>K66</f>
        <v/>
      </c>
      <c r="M66" s="472">
        <f>L66</f>
        <v/>
      </c>
      <c r="N66" s="472">
        <f>M66</f>
        <v/>
      </c>
      <c r="O66" s="472">
        <f>N66</f>
        <v/>
      </c>
      <c r="P66" s="472">
        <f>O66</f>
        <v/>
      </c>
      <c r="Q66" s="477">
        <f>P66</f>
        <v/>
      </c>
      <c r="R66" s="472">
        <f>Q66</f>
        <v/>
      </c>
      <c r="S66" s="472">
        <f>R66</f>
        <v/>
      </c>
      <c r="T66" s="472">
        <f>S66</f>
        <v/>
      </c>
      <c r="U66" s="472">
        <f>T66</f>
        <v/>
      </c>
      <c r="V66" s="477">
        <f>U66</f>
        <v/>
      </c>
      <c r="W66" s="478">
        <f>G66+L66+Q66+V66</f>
        <v/>
      </c>
      <c r="X66" s="472" t="n"/>
      <c r="Y66" s="770" t="n"/>
      <c r="Z66" s="770" t="n"/>
      <c r="AA66" s="770" t="n"/>
      <c r="AB66" s="770" t="n"/>
      <c r="AC66" s="770" t="n"/>
      <c r="AD66" s="770" t="n"/>
      <c r="AE66" s="770" t="n"/>
      <c r="AF66" s="770" t="n"/>
      <c r="AG66" s="770" t="n"/>
      <c r="AH66" s="770" t="n"/>
    </row>
    <row r="67" hidden="1" outlineLevel="3" customFormat="1" s="604">
      <c r="B67" s="703" t="inlineStr">
        <is>
          <t>Fringe</t>
        </is>
      </c>
      <c r="C67" s="851" t="n"/>
      <c r="D67" s="851" t="n"/>
      <c r="E67" s="896" t="n"/>
      <c r="F67" s="853">
        <f>SUM(F63:F65)*$F$66</f>
        <v/>
      </c>
      <c r="G67" s="869">
        <f>SUM(E67:F67)</f>
        <v/>
      </c>
      <c r="H67" s="853">
        <f>SUM(H63:H65)*$F$66</f>
        <v/>
      </c>
      <c r="I67" s="853">
        <f>SUM(I63:I65)*$F$66</f>
        <v/>
      </c>
      <c r="J67" s="853">
        <f>SUM(J63:J65)*$F$66</f>
        <v/>
      </c>
      <c r="K67" s="853">
        <f>SUM(K63:K65)*$F$66</f>
        <v/>
      </c>
      <c r="L67" s="869">
        <f>SUM(H67:K67)</f>
        <v/>
      </c>
      <c r="M67" s="853">
        <f>SUM(M63:M65)*$F$66</f>
        <v/>
      </c>
      <c r="N67" s="853">
        <f>SUM(N63:N65)*$F$66</f>
        <v/>
      </c>
      <c r="O67" s="853">
        <f>SUM(O63:O65)*$F$66</f>
        <v/>
      </c>
      <c r="P67" s="853">
        <f>SUM(P63:P65)*$F$66</f>
        <v/>
      </c>
      <c r="Q67" s="870">
        <f>SUM(M67:P67)</f>
        <v/>
      </c>
      <c r="R67" s="853">
        <f>SUM(R63:R65)*$F$66</f>
        <v/>
      </c>
      <c r="S67" s="853">
        <f>SUM(S63:S65)*$F$66</f>
        <v/>
      </c>
      <c r="T67" s="853">
        <f>SUM(T63:T65)*$F$66</f>
        <v/>
      </c>
      <c r="U67" s="853">
        <f>SUM(U63:U65)*$F$66</f>
        <v/>
      </c>
      <c r="V67" s="870">
        <f>SUM(R67:U67)</f>
        <v/>
      </c>
      <c r="W67" s="890">
        <f>G67+L67+Q67+V67</f>
        <v/>
      </c>
      <c r="X67" s="891" t="n"/>
      <c r="Y67" s="770" t="n"/>
    </row>
    <row r="68" hidden="1" outlineLevel="3" customFormat="1" s="604">
      <c r="B68" s="703" t="inlineStr">
        <is>
          <t>Recruiting cost</t>
        </is>
      </c>
      <c r="C68" s="851" t="n"/>
      <c r="D68" s="851" t="n"/>
      <c r="E68" s="896" t="n"/>
      <c r="F68" s="853">
        <f>((F63/F13)/3*2)*6</f>
        <v/>
      </c>
      <c r="G68" s="869">
        <f>SUM(E68:F68)</f>
        <v/>
      </c>
      <c r="H68" s="853">
        <f>((H63/12)/3*2)*6</f>
        <v/>
      </c>
      <c r="I68" s="853" t="n"/>
      <c r="J68" s="853">
        <f>((J63/14)/3*2)*2</f>
        <v/>
      </c>
      <c r="K68" s="853" t="n"/>
      <c r="L68" s="869">
        <f>SUM(H68:K68)</f>
        <v/>
      </c>
      <c r="M68" s="853" t="n"/>
      <c r="N68" s="853" t="n"/>
      <c r="O68" s="853" t="n"/>
      <c r="P68" s="853" t="n"/>
      <c r="Q68" s="870">
        <f>SUM(M68:P68)</f>
        <v/>
      </c>
      <c r="R68" s="853" t="n"/>
      <c r="S68" s="853" t="n"/>
      <c r="T68" s="853" t="n"/>
      <c r="U68" s="853" t="n"/>
      <c r="V68" s="870">
        <f>SUM(R68:U68)</f>
        <v/>
      </c>
      <c r="W68" s="890">
        <f>G68+L68+Q68+V68</f>
        <v/>
      </c>
      <c r="X68" s="891" t="n"/>
      <c r="Y68" s="545" t="n"/>
      <c r="Z68" s="770" t="n"/>
      <c r="AA68" s="897" t="n"/>
      <c r="AB68" s="770" t="n"/>
      <c r="AC68" s="770" t="n"/>
      <c r="AD68" s="770" t="n"/>
      <c r="AE68" s="770" t="n"/>
      <c r="AF68" s="770" t="n"/>
      <c r="AG68" s="770" t="n"/>
      <c r="AH68" s="770" t="n"/>
    </row>
    <row r="69" hidden="1" outlineLevel="1" ht="14.45" customFormat="1" customHeight="1" s="604">
      <c r="B69" s="757" t="inlineStr">
        <is>
          <t>HC Related costs</t>
        </is>
      </c>
      <c r="C69" s="851" t="n"/>
      <c r="D69" s="851" t="n"/>
      <c r="E69" s="892">
        <f>SUM(E63:E68)</f>
        <v/>
      </c>
      <c r="F69" s="855">
        <f>SUM(F63:F68)</f>
        <v/>
      </c>
      <c r="G69" s="869">
        <f>SUM(G63:G68)</f>
        <v/>
      </c>
      <c r="H69" s="855">
        <f>SUM(H63:H68)</f>
        <v/>
      </c>
      <c r="I69" s="855">
        <f>SUM(I63:I68)</f>
        <v/>
      </c>
      <c r="J69" s="855">
        <f>SUM(J63:J68)</f>
        <v/>
      </c>
      <c r="K69" s="855">
        <f>SUM(K63:K68)</f>
        <v/>
      </c>
      <c r="L69" s="869">
        <f>SUM(L63:L68)</f>
        <v/>
      </c>
      <c r="M69" s="855">
        <f>SUM(M63:M68)</f>
        <v/>
      </c>
      <c r="N69" s="855">
        <f>SUM(N63:N68)</f>
        <v/>
      </c>
      <c r="O69" s="855">
        <f>SUM(O63:O68)</f>
        <v/>
      </c>
      <c r="P69" s="855">
        <f>SUM(P63:P68)</f>
        <v/>
      </c>
      <c r="Q69" s="870">
        <f>SUM(Q63:Q68)</f>
        <v/>
      </c>
      <c r="R69" s="855">
        <f>SUM(R63:R68)</f>
        <v/>
      </c>
      <c r="S69" s="855">
        <f>SUM(S63:S68)</f>
        <v/>
      </c>
      <c r="T69" s="855">
        <f>SUM(T63:T68)</f>
        <v/>
      </c>
      <c r="U69" s="855">
        <f>SUM(U63:U68)</f>
        <v/>
      </c>
      <c r="V69" s="870">
        <f>SUM(V63:V68)</f>
        <v/>
      </c>
      <c r="W69" s="871">
        <f>SUM(W63:W68)</f>
        <v/>
      </c>
      <c r="X69" s="837" t="n"/>
      <c r="Y69" s="545" t="inlineStr">
        <is>
          <t>Still haven't got levelling/hr inputs</t>
        </is>
      </c>
      <c r="Z69" s="545" t="n"/>
      <c r="AA69" s="545" t="n"/>
      <c r="AB69" s="545" t="n"/>
      <c r="AC69" s="545" t="n"/>
      <c r="AD69" s="545" t="n"/>
      <c r="AE69" s="545" t="n"/>
      <c r="AF69" s="545" t="n"/>
      <c r="AG69" s="545" t="n"/>
      <c r="AH69" s="545" t="n"/>
    </row>
    <row r="70" hidden="1" outlineLevel="2" customFormat="1" s="604">
      <c r="B70" s="757" t="inlineStr">
        <is>
          <t>T&amp;E</t>
        </is>
      </c>
      <c r="C70" s="850" t="n"/>
      <c r="D70" s="851" t="n"/>
      <c r="E70" s="896" t="n"/>
      <c r="F70" s="853" t="n"/>
      <c r="G70" s="869">
        <f>SUM(E70:F70)</f>
        <v/>
      </c>
      <c r="H70" s="853">
        <f>H13*$F$44</f>
        <v/>
      </c>
      <c r="I70" s="853">
        <f>I13*$F$44</f>
        <v/>
      </c>
      <c r="J70" s="853">
        <f>J13*$F$44</f>
        <v/>
      </c>
      <c r="K70" s="853">
        <f>K13*$F$44</f>
        <v/>
      </c>
      <c r="L70" s="869">
        <f>SUM(H70:K70)</f>
        <v/>
      </c>
      <c r="M70" s="853">
        <f>M13*$F$44</f>
        <v/>
      </c>
      <c r="N70" s="853">
        <f>N13*$F$44</f>
        <v/>
      </c>
      <c r="O70" s="853">
        <f>O13*$F$44</f>
        <v/>
      </c>
      <c r="P70" s="853">
        <f>P13*$F$44</f>
        <v/>
      </c>
      <c r="Q70" s="870">
        <f>SUM(M70:P70)</f>
        <v/>
      </c>
      <c r="R70" s="853">
        <f>R13*$F$44</f>
        <v/>
      </c>
      <c r="S70" s="853">
        <f>S13*$F$44</f>
        <v/>
      </c>
      <c r="T70" s="853">
        <f>T13*$F$44</f>
        <v/>
      </c>
      <c r="U70" s="853">
        <f>U13*$F$44</f>
        <v/>
      </c>
      <c r="V70" s="870">
        <f>SUM(R70:U70)</f>
        <v/>
      </c>
      <c r="W70" s="890">
        <f>G70+L70+Q70+V70</f>
        <v/>
      </c>
      <c r="X70" s="891" t="n"/>
    </row>
    <row r="71" hidden="1" outlineLevel="2" customFormat="1" s="567">
      <c r="B71" s="757" t="inlineStr">
        <is>
          <t xml:space="preserve">Facility and Office Exp </t>
        </is>
      </c>
      <c r="C71" s="853" t="n"/>
      <c r="D71" s="853" t="n"/>
      <c r="E71" s="852" t="n"/>
      <c r="F71" s="853" t="n"/>
      <c r="G71" s="869">
        <f>SUM(E71:F71)</f>
        <v/>
      </c>
      <c r="H71" s="855">
        <f>'8) Facilities'!J41-H46</f>
        <v/>
      </c>
      <c r="I71" s="855">
        <f>'8) Facilities'!K41-I46</f>
        <v/>
      </c>
      <c r="J71" s="855">
        <f>'8) Facilities'!L41-J46</f>
        <v/>
      </c>
      <c r="K71" s="855">
        <f>'8) Facilities'!M41-K46</f>
        <v/>
      </c>
      <c r="L71" s="898">
        <f>SUM(H71:K71)</f>
        <v/>
      </c>
      <c r="M71" s="856">
        <f>K71</f>
        <v/>
      </c>
      <c r="N71" s="856">
        <f>M71</f>
        <v/>
      </c>
      <c r="O71" s="856">
        <f>M71</f>
        <v/>
      </c>
      <c r="P71" s="856">
        <f>N71</f>
        <v/>
      </c>
      <c r="Q71" s="891">
        <f>SUM(M71:P71)</f>
        <v/>
      </c>
      <c r="R71" s="876">
        <f>M71</f>
        <v/>
      </c>
      <c r="S71" s="856">
        <f>N71</f>
        <v/>
      </c>
      <c r="T71" s="856">
        <f>O71</f>
        <v/>
      </c>
      <c r="U71" s="856">
        <f>P71</f>
        <v/>
      </c>
      <c r="V71" s="891">
        <f>SUM(R71:U71)</f>
        <v/>
      </c>
      <c r="W71" s="890">
        <f>G71+L71+Q71+V71</f>
        <v/>
      </c>
      <c r="X71" s="891" t="n"/>
    </row>
    <row r="72" hidden="1" outlineLevel="1" customFormat="1" s="577">
      <c r="B72" s="755" t="inlineStr">
        <is>
          <t>Costs related to New Employees in HK</t>
        </is>
      </c>
      <c r="C72" s="557" t="n"/>
      <c r="D72" s="557" t="n"/>
      <c r="E72" s="886">
        <f>E69+E70+E71</f>
        <v/>
      </c>
      <c r="F72" s="887">
        <f>F69+F70+F71</f>
        <v/>
      </c>
      <c r="G72" s="888">
        <f>G69+G70+G71</f>
        <v/>
      </c>
      <c r="H72" s="887">
        <f>H69+H70+H71</f>
        <v/>
      </c>
      <c r="I72" s="887">
        <f>I69+I70+I71</f>
        <v/>
      </c>
      <c r="J72" s="887">
        <f>J69+J70+J71</f>
        <v/>
      </c>
      <c r="K72" s="887">
        <f>K69+K70+K71</f>
        <v/>
      </c>
      <c r="L72" s="888">
        <f>L69+L70+L71</f>
        <v/>
      </c>
      <c r="M72" s="887">
        <f>M69+M70+M71</f>
        <v/>
      </c>
      <c r="N72" s="887">
        <f>N69+N70+N71</f>
        <v/>
      </c>
      <c r="O72" s="887">
        <f>O69+O70+O71</f>
        <v/>
      </c>
      <c r="P72" s="887">
        <f>P69+P70+P71</f>
        <v/>
      </c>
      <c r="Q72" s="887">
        <f>Q69+Q70+Q71</f>
        <v/>
      </c>
      <c r="R72" s="887">
        <f>R69+R70+R71</f>
        <v/>
      </c>
      <c r="S72" s="887">
        <f>S69+S70+S71</f>
        <v/>
      </c>
      <c r="T72" s="887">
        <f>T69+T70+T71</f>
        <v/>
      </c>
      <c r="U72" s="887">
        <f>U69+U70+U71</f>
        <v/>
      </c>
      <c r="V72" s="887">
        <f>V69+V70+V71</f>
        <v/>
      </c>
      <c r="W72" s="899">
        <f>G72+L72+Q72+V72</f>
        <v/>
      </c>
      <c r="X72" s="837" t="n"/>
      <c r="Y72" s="545" t="n"/>
    </row>
    <row r="73" hidden="1" outlineLevel="1" customFormat="1" s="577">
      <c r="B73" s="547" t="n"/>
      <c r="C73" s="577" t="n"/>
      <c r="D73" s="577" t="n"/>
      <c r="E73" s="900" t="n"/>
      <c r="F73" s="901" t="n"/>
      <c r="G73" s="902" t="n"/>
      <c r="H73" s="901" t="n"/>
      <c r="I73" s="901" t="n"/>
      <c r="J73" s="901" t="n"/>
      <c r="K73" s="901" t="n"/>
      <c r="L73" s="902" t="n"/>
      <c r="M73" s="901" t="n"/>
      <c r="N73" s="901" t="n"/>
      <c r="O73" s="901" t="n"/>
      <c r="P73" s="901" t="n"/>
      <c r="Q73" s="901" t="n"/>
      <c r="R73" s="901" t="n"/>
      <c r="S73" s="901" t="n"/>
      <c r="T73" s="901" t="n"/>
      <c r="U73" s="901" t="n"/>
      <c r="V73" s="901" t="n"/>
      <c r="W73" s="903">
        <f>G73+L73+Q73+V73</f>
        <v/>
      </c>
      <c r="X73" s="901" t="n"/>
      <c r="Y73" s="545" t="n"/>
    </row>
    <row r="74" hidden="1" outlineLevel="2" customFormat="1" s="535">
      <c r="B74" s="547" t="inlineStr">
        <is>
          <t>Inventory E&amp;O + write off</t>
        </is>
      </c>
      <c r="C74" s="855" t="inlineStr">
        <is>
          <t>Audrey</t>
        </is>
      </c>
      <c r="E74" s="878" t="n"/>
      <c r="F74" s="862">
        <f>F30</f>
        <v/>
      </c>
      <c r="G74" s="863">
        <f>SUM(E74:F74)</f>
        <v/>
      </c>
      <c r="H74" s="864" t="n"/>
      <c r="I74" s="864" t="n"/>
      <c r="J74" s="864" t="n"/>
      <c r="K74" s="864" t="n"/>
      <c r="L74" s="863" t="n"/>
      <c r="M74" s="865" t="n"/>
      <c r="N74" s="865" t="n"/>
      <c r="O74" s="865" t="n"/>
      <c r="P74" s="865" t="n"/>
      <c r="Q74" s="866" t="n"/>
      <c r="R74" s="865" t="n"/>
      <c r="S74" s="865" t="n"/>
      <c r="T74" s="865" t="n"/>
      <c r="U74" s="865" t="n"/>
      <c r="V74" s="866" t="n"/>
      <c r="W74" s="867">
        <f>G74+L74+Q74+V74</f>
        <v/>
      </c>
      <c r="X74" s="837" t="n"/>
      <c r="Y74" s="604" t="n"/>
    </row>
    <row r="75" hidden="1" outlineLevel="2" customFormat="1" s="535">
      <c r="B75" s="547" t="inlineStr">
        <is>
          <t>Inventory write off - Buy back of DokiPal units</t>
        </is>
      </c>
      <c r="C75" s="855" t="n"/>
      <c r="E75" s="861" t="n"/>
      <c r="F75" s="862">
        <f>F31</f>
        <v/>
      </c>
      <c r="G75" s="863">
        <f>SUM(E75:F75)</f>
        <v/>
      </c>
      <c r="H75" s="864" t="n"/>
      <c r="I75" s="864" t="n"/>
      <c r="J75" s="864" t="n"/>
      <c r="K75" s="864" t="n"/>
      <c r="L75" s="863" t="n"/>
      <c r="M75" s="865" t="n"/>
      <c r="N75" s="865" t="n"/>
      <c r="O75" s="865" t="n"/>
      <c r="P75" s="865" t="n"/>
      <c r="Q75" s="866" t="n"/>
      <c r="R75" s="865" t="n"/>
      <c r="S75" s="865" t="n"/>
      <c r="T75" s="865" t="n"/>
      <c r="U75" s="865" t="n"/>
      <c r="V75" s="866" t="n"/>
      <c r="W75" s="867">
        <f>G75+L75+Q75+V75</f>
        <v/>
      </c>
      <c r="X75" s="837" t="n"/>
      <c r="Y75" s="604" t="n"/>
    </row>
    <row r="76" hidden="1" outlineLevel="2" customFormat="1" s="535">
      <c r="B76" s="547" t="n"/>
      <c r="C76" s="855" t="n"/>
      <c r="E76" s="868" t="n"/>
      <c r="F76" s="853" t="n"/>
      <c r="G76" s="869" t="n"/>
      <c r="H76" s="837" t="n"/>
      <c r="I76" s="837" t="n"/>
      <c r="J76" s="837" t="n"/>
      <c r="K76" s="837" t="n"/>
      <c r="L76" s="869" t="n"/>
      <c r="M76" s="855" t="n"/>
      <c r="N76" s="855" t="n"/>
      <c r="O76" s="855" t="n"/>
      <c r="P76" s="855" t="n"/>
      <c r="Q76" s="870" t="n"/>
      <c r="R76" s="855" t="n"/>
      <c r="S76" s="855" t="n"/>
      <c r="T76" s="855" t="n"/>
      <c r="U76" s="855" t="n"/>
      <c r="V76" s="870" t="n"/>
      <c r="W76" s="871" t="n"/>
      <c r="X76" s="837" t="n"/>
      <c r="Y76" s="604" t="n"/>
    </row>
    <row r="77" hidden="1" outlineLevel="2" customFormat="1" s="535">
      <c r="B77" s="547" t="inlineStr">
        <is>
          <t>Operating costs:</t>
        </is>
      </c>
      <c r="C77" s="855" t="n"/>
      <c r="E77" s="868" t="n"/>
      <c r="F77" s="853" t="n"/>
      <c r="G77" s="869" t="n"/>
      <c r="H77" s="837" t="n"/>
      <c r="I77" s="837" t="n"/>
      <c r="J77" s="837" t="n"/>
      <c r="K77" s="837" t="n"/>
      <c r="L77" s="869" t="n"/>
      <c r="M77" s="855" t="n"/>
      <c r="N77" s="855" t="n"/>
      <c r="O77" s="855" t="n"/>
      <c r="P77" s="855" t="n"/>
      <c r="Q77" s="870" t="n"/>
      <c r="R77" s="855" t="n"/>
      <c r="S77" s="855" t="n"/>
      <c r="T77" s="855" t="n"/>
      <c r="U77" s="855" t="n"/>
      <c r="V77" s="870" t="n"/>
      <c r="W77" s="871" t="n"/>
      <c r="X77" s="837" t="n"/>
      <c r="Y77" s="604" t="n"/>
    </row>
    <row r="78" hidden="1" outlineLevel="3" collapsed="1" ht="15" customFormat="1" customHeight="1" s="604">
      <c r="B78" s="703" t="inlineStr">
        <is>
          <t>Gross Wages</t>
        </is>
      </c>
      <c r="C78" s="851" t="n"/>
      <c r="D78" s="851" t="n"/>
      <c r="E78" s="852">
        <f>E36+E63</f>
        <v/>
      </c>
      <c r="F78" s="853">
        <f>F36+F63</f>
        <v/>
      </c>
      <c r="G78" s="869">
        <f>G36+G63</f>
        <v/>
      </c>
      <c r="H78" s="853">
        <f>H36+H63</f>
        <v/>
      </c>
      <c r="I78" s="853">
        <f>I36+I63</f>
        <v/>
      </c>
      <c r="J78" s="853">
        <f>J36+J63</f>
        <v/>
      </c>
      <c r="K78" s="853">
        <f>K36+K63</f>
        <v/>
      </c>
      <c r="L78" s="869">
        <f>L36+L63</f>
        <v/>
      </c>
      <c r="M78" s="853">
        <f>M36+M63</f>
        <v/>
      </c>
      <c r="N78" s="853">
        <f>N36+N63</f>
        <v/>
      </c>
      <c r="O78" s="853">
        <f>O36+O63</f>
        <v/>
      </c>
      <c r="P78" s="853">
        <f>P36+P63</f>
        <v/>
      </c>
      <c r="Q78" s="870">
        <f>Q36+Q63</f>
        <v/>
      </c>
      <c r="R78" s="853">
        <f>R36+R63</f>
        <v/>
      </c>
      <c r="S78" s="853">
        <f>S36+S63</f>
        <v/>
      </c>
      <c r="T78" s="853">
        <f>T36+T63</f>
        <v/>
      </c>
      <c r="U78" s="853">
        <f>U36+U63</f>
        <v/>
      </c>
      <c r="V78" s="870">
        <f>V36+V63</f>
        <v/>
      </c>
      <c r="W78" s="871">
        <f>W36+W63</f>
        <v/>
      </c>
      <c r="X78" s="837" t="n"/>
      <c r="Y78" s="770" t="n"/>
    </row>
    <row r="79" hidden="1" outlineLevel="3" customFormat="1" s="604">
      <c r="B79" s="703" t="inlineStr">
        <is>
          <t>Bonus</t>
        </is>
      </c>
      <c r="C79" s="851" t="n"/>
      <c r="D79" s="851" t="n"/>
      <c r="E79" s="852">
        <f>E38+E65</f>
        <v/>
      </c>
      <c r="F79" s="853">
        <f>F38+F65</f>
        <v/>
      </c>
      <c r="G79" s="869">
        <f>G38+G65</f>
        <v/>
      </c>
      <c r="H79" s="853">
        <f>H38+H65</f>
        <v/>
      </c>
      <c r="I79" s="853">
        <f>I38+I65</f>
        <v/>
      </c>
      <c r="J79" s="853">
        <f>J38+J65</f>
        <v/>
      </c>
      <c r="K79" s="853">
        <f>K38+K65</f>
        <v/>
      </c>
      <c r="L79" s="869">
        <f>L38+L65</f>
        <v/>
      </c>
      <c r="M79" s="853">
        <f>M38+M65</f>
        <v/>
      </c>
      <c r="N79" s="853">
        <f>N38+N65</f>
        <v/>
      </c>
      <c r="O79" s="853">
        <f>O38+O65</f>
        <v/>
      </c>
      <c r="P79" s="853">
        <f>P38+P65</f>
        <v/>
      </c>
      <c r="Q79" s="870">
        <f>Q38+Q65</f>
        <v/>
      </c>
      <c r="R79" s="853">
        <f>R38+R65</f>
        <v/>
      </c>
      <c r="S79" s="853">
        <f>S38+S65</f>
        <v/>
      </c>
      <c r="T79" s="853">
        <f>T38+T65</f>
        <v/>
      </c>
      <c r="U79" s="853">
        <f>U38+U65</f>
        <v/>
      </c>
      <c r="V79" s="870">
        <f>V38+V65</f>
        <v/>
      </c>
      <c r="W79" s="871">
        <f>W38+W65</f>
        <v/>
      </c>
      <c r="X79" s="837" t="n"/>
      <c r="Y79" s="770" t="n"/>
    </row>
    <row r="80" hidden="1" outlineLevel="3" customFormat="1" s="604">
      <c r="B80" s="703" t="inlineStr">
        <is>
          <t>Fringe</t>
        </is>
      </c>
      <c r="C80" s="851" t="n"/>
      <c r="D80" s="851" t="n"/>
      <c r="E80" s="854">
        <f>E40+E67</f>
        <v/>
      </c>
      <c r="F80" s="855">
        <f>F40+F67</f>
        <v/>
      </c>
      <c r="G80" s="869">
        <f>G40+G67</f>
        <v/>
      </c>
      <c r="H80" s="855">
        <f>H40+H67</f>
        <v/>
      </c>
      <c r="I80" s="855">
        <f>I40+I67</f>
        <v/>
      </c>
      <c r="J80" s="855">
        <f>J40+J67</f>
        <v/>
      </c>
      <c r="K80" s="855">
        <f>K40+K67</f>
        <v/>
      </c>
      <c r="L80" s="869">
        <f>L40+L67</f>
        <v/>
      </c>
      <c r="M80" s="855">
        <f>M40+M67</f>
        <v/>
      </c>
      <c r="N80" s="855">
        <f>N40+N67</f>
        <v/>
      </c>
      <c r="O80" s="855">
        <f>O40+O67</f>
        <v/>
      </c>
      <c r="P80" s="855">
        <f>P40+P67</f>
        <v/>
      </c>
      <c r="Q80" s="870">
        <f>Q40+Q67</f>
        <v/>
      </c>
      <c r="R80" s="855">
        <f>R40+R67</f>
        <v/>
      </c>
      <c r="S80" s="855">
        <f>S40+S67</f>
        <v/>
      </c>
      <c r="T80" s="855">
        <f>T40+T67</f>
        <v/>
      </c>
      <c r="U80" s="855">
        <f>U40+U67</f>
        <v/>
      </c>
      <c r="V80" s="870">
        <f>V40+V67</f>
        <v/>
      </c>
      <c r="W80" s="871">
        <f>W40+W67</f>
        <v/>
      </c>
      <c r="X80" s="837" t="n"/>
      <c r="Y80" s="770" t="n"/>
    </row>
    <row r="81" hidden="1" outlineLevel="3" customFormat="1" s="604">
      <c r="B81" s="703" t="inlineStr">
        <is>
          <t>Retention</t>
        </is>
      </c>
      <c r="C81" s="851" t="n"/>
      <c r="D81" s="851" t="n"/>
      <c r="E81" s="878">
        <f>E41+E68</f>
        <v/>
      </c>
      <c r="F81" s="865">
        <f>F41+F68</f>
        <v/>
      </c>
      <c r="G81" s="863">
        <f>G41+G68</f>
        <v/>
      </c>
      <c r="H81" s="865">
        <f>H41+H68</f>
        <v/>
      </c>
      <c r="I81" s="865">
        <f>I41+I68</f>
        <v/>
      </c>
      <c r="J81" s="865">
        <f>J41+J68</f>
        <v/>
      </c>
      <c r="K81" s="865">
        <f>K41+K68</f>
        <v/>
      </c>
      <c r="L81" s="863">
        <f>L41+L68</f>
        <v/>
      </c>
      <c r="M81" s="865">
        <f>M41+M68</f>
        <v/>
      </c>
      <c r="N81" s="865">
        <f>N41+N68</f>
        <v/>
      </c>
      <c r="O81" s="865">
        <f>O41+O68</f>
        <v/>
      </c>
      <c r="P81" s="865">
        <f>P41+P68</f>
        <v/>
      </c>
      <c r="Q81" s="866">
        <f>Q41+Q68</f>
        <v/>
      </c>
      <c r="R81" s="865">
        <f>R41+R68</f>
        <v/>
      </c>
      <c r="S81" s="865">
        <f>S41+S68</f>
        <v/>
      </c>
      <c r="T81" s="865">
        <f>T41+T68</f>
        <v/>
      </c>
      <c r="U81" s="865">
        <f>U41+U68</f>
        <v/>
      </c>
      <c r="V81" s="866">
        <f>V41+V68</f>
        <v/>
      </c>
      <c r="W81" s="867">
        <f>W41+W68</f>
        <v/>
      </c>
      <c r="X81" s="837" t="n"/>
      <c r="Y81" s="770" t="n"/>
      <c r="Z81" s="770" t="n"/>
      <c r="AA81" s="770" t="n"/>
      <c r="AB81" s="770" t="n"/>
      <c r="AC81" s="770" t="n"/>
      <c r="AD81" s="770" t="n"/>
      <c r="AE81" s="770" t="n"/>
      <c r="AF81" s="770" t="n"/>
      <c r="AG81" s="770" t="n"/>
      <c r="AH81" s="770" t="n"/>
    </row>
    <row r="82" hidden="1" outlineLevel="3" customFormat="1" s="604">
      <c r="B82" s="703" t="inlineStr">
        <is>
          <t>Severance</t>
        </is>
      </c>
      <c r="C82" s="851" t="n"/>
      <c r="D82" s="851" t="n"/>
      <c r="E82" s="878">
        <f>E42+E69</f>
        <v/>
      </c>
      <c r="F82" s="865">
        <f>F42+F69</f>
        <v/>
      </c>
      <c r="G82" s="863">
        <f>G42+G69</f>
        <v/>
      </c>
      <c r="H82" s="865">
        <f>H42+H69</f>
        <v/>
      </c>
      <c r="I82" s="865">
        <f>I42+I69</f>
        <v/>
      </c>
      <c r="J82" s="865">
        <f>J42+J69</f>
        <v/>
      </c>
      <c r="K82" s="865">
        <f>K42+K69</f>
        <v/>
      </c>
      <c r="L82" s="863">
        <f>L42+L69</f>
        <v/>
      </c>
      <c r="M82" s="865">
        <f>M42+M69</f>
        <v/>
      </c>
      <c r="N82" s="865">
        <f>N42+N69</f>
        <v/>
      </c>
      <c r="O82" s="865">
        <f>O42+O69</f>
        <v/>
      </c>
      <c r="P82" s="865">
        <f>P42+P69</f>
        <v/>
      </c>
      <c r="Q82" s="866">
        <f>Q42+Q69</f>
        <v/>
      </c>
      <c r="R82" s="865">
        <f>R42+R69</f>
        <v/>
      </c>
      <c r="S82" s="865">
        <f>S42+S69</f>
        <v/>
      </c>
      <c r="T82" s="865">
        <f>T42+T69</f>
        <v/>
      </c>
      <c r="U82" s="865">
        <f>U42+U69</f>
        <v/>
      </c>
      <c r="V82" s="866">
        <f>V42+V69</f>
        <v/>
      </c>
      <c r="W82" s="867">
        <f>W42+W69</f>
        <v/>
      </c>
      <c r="X82" s="837" t="n"/>
      <c r="Y82" s="770" t="n"/>
      <c r="Z82" s="770" t="n"/>
      <c r="AA82" s="770" t="n"/>
      <c r="AB82" s="770" t="n"/>
      <c r="AC82" s="770" t="n"/>
      <c r="AD82" s="770" t="n"/>
      <c r="AE82" s="770" t="n"/>
      <c r="AF82" s="770" t="n"/>
      <c r="AG82" s="770" t="n"/>
      <c r="AH82" s="770" t="n"/>
    </row>
    <row r="83" hidden="1" outlineLevel="3" customFormat="1" s="604">
      <c r="B83" s="703" t="inlineStr">
        <is>
          <t>Recruiting cost</t>
        </is>
      </c>
      <c r="C83" s="851" t="n"/>
      <c r="D83" s="851" t="n"/>
      <c r="E83" s="878">
        <f>E68</f>
        <v/>
      </c>
      <c r="F83" s="865">
        <f>F68</f>
        <v/>
      </c>
      <c r="G83" s="863">
        <f>SUM(E83:F83)</f>
        <v/>
      </c>
      <c r="H83" s="865">
        <f>H68</f>
        <v/>
      </c>
      <c r="I83" s="865">
        <f>I68</f>
        <v/>
      </c>
      <c r="J83" s="865">
        <f>J68</f>
        <v/>
      </c>
      <c r="K83" s="865">
        <f>K68</f>
        <v/>
      </c>
      <c r="L83" s="863">
        <f>SUM(H83:K83)</f>
        <v/>
      </c>
      <c r="M83" s="865">
        <f>M68</f>
        <v/>
      </c>
      <c r="N83" s="865">
        <f>N68</f>
        <v/>
      </c>
      <c r="O83" s="865">
        <f>O68</f>
        <v/>
      </c>
      <c r="P83" s="865">
        <f>P68</f>
        <v/>
      </c>
      <c r="Q83" s="866">
        <f>SUM(M83:P83)</f>
        <v/>
      </c>
      <c r="R83" s="865">
        <f>R68</f>
        <v/>
      </c>
      <c r="S83" s="865">
        <f>S68</f>
        <v/>
      </c>
      <c r="T83" s="865">
        <f>T68</f>
        <v/>
      </c>
      <c r="U83" s="865">
        <f>U68</f>
        <v/>
      </c>
      <c r="V83" s="866">
        <f>SUM(R83:U83)</f>
        <v/>
      </c>
      <c r="W83" s="867">
        <f>G83+L83+Q83+V83</f>
        <v/>
      </c>
      <c r="X83" s="837" t="n"/>
      <c r="Y83" s="567" t="inlineStr">
        <is>
          <t>Per Ryan Krenms, add 2mths of average salary for this</t>
        </is>
      </c>
      <c r="Z83" s="770" t="n"/>
      <c r="AA83" s="770" t="n"/>
      <c r="AB83" s="770" t="n"/>
      <c r="AC83" s="770" t="n"/>
      <c r="AD83" s="770" t="n"/>
      <c r="AE83" s="770" t="n"/>
      <c r="AF83" s="770" t="n"/>
      <c r="AG83" s="770" t="n"/>
      <c r="AH83" s="770" t="n"/>
    </row>
    <row r="84" hidden="1" outlineLevel="2" customFormat="1" s="604">
      <c r="B84" s="757" t="inlineStr">
        <is>
          <t>HC Related costs</t>
        </is>
      </c>
      <c r="C84" s="851" t="n"/>
      <c r="D84" s="851" t="n"/>
      <c r="E84" s="852">
        <f>E43+E69</f>
        <v/>
      </c>
      <c r="F84" s="853">
        <f>F43+F69</f>
        <v/>
      </c>
      <c r="G84" s="869">
        <f>SUM(E84:F84)</f>
        <v/>
      </c>
      <c r="H84" s="853">
        <f>H43+H69</f>
        <v/>
      </c>
      <c r="I84" s="853">
        <f>I43+I69</f>
        <v/>
      </c>
      <c r="J84" s="853">
        <f>J43+J69</f>
        <v/>
      </c>
      <c r="K84" s="853">
        <f>K43+K69</f>
        <v/>
      </c>
      <c r="L84" s="869">
        <f>SUM(H84:K84)</f>
        <v/>
      </c>
      <c r="M84" s="853">
        <f>M43+M69</f>
        <v/>
      </c>
      <c r="N84" s="853">
        <f>N43+N69</f>
        <v/>
      </c>
      <c r="O84" s="853">
        <f>O43+O69</f>
        <v/>
      </c>
      <c r="P84" s="853">
        <f>P43+P69</f>
        <v/>
      </c>
      <c r="Q84" s="870">
        <f>SUM(M84:P84)</f>
        <v/>
      </c>
      <c r="R84" s="853">
        <f>R43+R69</f>
        <v/>
      </c>
      <c r="S84" s="853">
        <f>S43+S69</f>
        <v/>
      </c>
      <c r="T84" s="853">
        <f>T43+T69</f>
        <v/>
      </c>
      <c r="U84" s="853">
        <f>U43+U69</f>
        <v/>
      </c>
      <c r="V84" s="870">
        <f>SUM(R84:U84)</f>
        <v/>
      </c>
      <c r="W84" s="871">
        <f>G84+L84+Q84+V84</f>
        <v/>
      </c>
      <c r="X84" s="837" t="n"/>
      <c r="Y84" s="545" t="n"/>
      <c r="Z84" s="770" t="n"/>
      <c r="AA84" s="770" t="n"/>
      <c r="AB84" s="770" t="n"/>
      <c r="AC84" s="770" t="n"/>
      <c r="AD84" s="770" t="n"/>
      <c r="AE84" s="770" t="n"/>
      <c r="AF84" s="770" t="n"/>
      <c r="AG84" s="770" t="n"/>
      <c r="AH84" s="770" t="n"/>
    </row>
    <row r="85" hidden="1" outlineLevel="2" customFormat="1" s="604">
      <c r="B85" s="757" t="inlineStr">
        <is>
          <t>T&amp;E</t>
        </is>
      </c>
      <c r="C85" s="850" t="n"/>
      <c r="D85" s="851" t="n"/>
      <c r="E85" s="852">
        <f>E45+E70</f>
        <v/>
      </c>
      <c r="F85" s="853">
        <f>F45+F70</f>
        <v/>
      </c>
      <c r="G85" s="869">
        <f>SUM(E85:F85)</f>
        <v/>
      </c>
      <c r="H85" s="853">
        <f>H45+H70</f>
        <v/>
      </c>
      <c r="I85" s="853">
        <f>I45+I70</f>
        <v/>
      </c>
      <c r="J85" s="853">
        <f>J45+J70</f>
        <v/>
      </c>
      <c r="K85" s="853">
        <f>K45+K70</f>
        <v/>
      </c>
      <c r="L85" s="869">
        <f>SUM(H85:K85)</f>
        <v/>
      </c>
      <c r="M85" s="853">
        <f>M45+M70</f>
        <v/>
      </c>
      <c r="N85" s="853">
        <f>N45+N70</f>
        <v/>
      </c>
      <c r="O85" s="853">
        <f>O45+O70</f>
        <v/>
      </c>
      <c r="P85" s="853">
        <f>P45+P70</f>
        <v/>
      </c>
      <c r="Q85" s="870">
        <f>SUM(M85:P85)</f>
        <v/>
      </c>
      <c r="R85" s="853">
        <f>R45+R70</f>
        <v/>
      </c>
      <c r="S85" s="853">
        <f>S45+S70</f>
        <v/>
      </c>
      <c r="T85" s="853">
        <f>T45+T70</f>
        <v/>
      </c>
      <c r="U85" s="853">
        <f>U45+U70</f>
        <v/>
      </c>
      <c r="V85" s="870">
        <f>SUM(R85:U85)</f>
        <v/>
      </c>
      <c r="W85" s="871">
        <f>G85+L85+Q85+V85</f>
        <v/>
      </c>
      <c r="X85" s="837" t="n"/>
      <c r="Y85" s="545" t="n"/>
    </row>
    <row r="86" hidden="1" outlineLevel="2" customFormat="1" s="577">
      <c r="B86" s="757" t="inlineStr">
        <is>
          <t xml:space="preserve">Facility and Office Exp </t>
        </is>
      </c>
      <c r="C86" s="577" t="n"/>
      <c r="D86" s="577" t="n"/>
      <c r="E86" s="854">
        <f>E46+E71</f>
        <v/>
      </c>
      <c r="F86" s="855">
        <f>F46+F71</f>
        <v/>
      </c>
      <c r="G86" s="869">
        <f>SUM(E86:F86)</f>
        <v/>
      </c>
      <c r="H86" s="855">
        <f>H46+H71</f>
        <v/>
      </c>
      <c r="I86" s="855">
        <f>I46+I71</f>
        <v/>
      </c>
      <c r="J86" s="855">
        <f>J46+J71</f>
        <v/>
      </c>
      <c r="K86" s="855">
        <f>K46+K71</f>
        <v/>
      </c>
      <c r="L86" s="869">
        <f>SUM(H86:K86)</f>
        <v/>
      </c>
      <c r="M86" s="855">
        <f>M46+M71</f>
        <v/>
      </c>
      <c r="N86" s="855">
        <f>N46+N71</f>
        <v/>
      </c>
      <c r="O86" s="855">
        <f>O46+O71</f>
        <v/>
      </c>
      <c r="P86" s="855">
        <f>P46+P71</f>
        <v/>
      </c>
      <c r="Q86" s="870">
        <f>SUM(M86:P86)</f>
        <v/>
      </c>
      <c r="R86" s="855">
        <f>R46+R71</f>
        <v/>
      </c>
      <c r="S86" s="855">
        <f>S46+S71</f>
        <v/>
      </c>
      <c r="T86" s="855">
        <f>T46+T71</f>
        <v/>
      </c>
      <c r="U86" s="855">
        <f>U46+U71</f>
        <v/>
      </c>
      <c r="V86" s="870">
        <f>SUM(R86:U86)</f>
        <v/>
      </c>
      <c r="W86" s="871">
        <f>G86+L86+Q86+V86</f>
        <v/>
      </c>
      <c r="X86" s="837" t="n"/>
      <c r="Y86" s="545" t="n"/>
    </row>
    <row r="87" hidden="1" outlineLevel="2" ht="12.6" customFormat="1" customHeight="1" s="577">
      <c r="B87" s="547" t="inlineStr">
        <is>
          <t>Founder holdback</t>
        </is>
      </c>
      <c r="C87" s="577" t="n"/>
      <c r="D87" s="577" t="n"/>
      <c r="E87" s="861">
        <f>E47</f>
        <v/>
      </c>
      <c r="F87" s="865">
        <f>F47</f>
        <v/>
      </c>
      <c r="G87" s="863">
        <f>G47</f>
        <v/>
      </c>
      <c r="H87" s="865">
        <f>H47</f>
        <v/>
      </c>
      <c r="I87" s="865">
        <f>I47</f>
        <v/>
      </c>
      <c r="J87" s="865">
        <f>J47</f>
        <v/>
      </c>
      <c r="K87" s="865">
        <f>K47</f>
        <v/>
      </c>
      <c r="L87" s="863">
        <f>L47</f>
        <v/>
      </c>
      <c r="M87" s="865">
        <f>M47</f>
        <v/>
      </c>
      <c r="N87" s="865">
        <f>N47</f>
        <v/>
      </c>
      <c r="O87" s="865">
        <f>O47</f>
        <v/>
      </c>
      <c r="P87" s="865">
        <f>P47</f>
        <v/>
      </c>
      <c r="Q87" s="866">
        <f>Q47</f>
        <v/>
      </c>
      <c r="R87" s="865">
        <f>R47</f>
        <v/>
      </c>
      <c r="S87" s="865">
        <f>S47</f>
        <v/>
      </c>
      <c r="T87" s="865">
        <f>T47</f>
        <v/>
      </c>
      <c r="U87" s="865">
        <f>U47</f>
        <v/>
      </c>
      <c r="V87" s="866">
        <f>V47</f>
        <v/>
      </c>
      <c r="W87" s="867">
        <f>W47</f>
        <v/>
      </c>
      <c r="X87" s="837" t="n"/>
      <c r="Y87" s="545" t="n"/>
    </row>
    <row r="88" hidden="1" outlineLevel="2" ht="12.6" customFormat="1" customHeight="1" s="577">
      <c r="B88" s="547" t="inlineStr">
        <is>
          <t>IT Costs - security</t>
        </is>
      </c>
      <c r="C88" s="577" t="n"/>
      <c r="D88" s="577" t="n"/>
      <c r="E88" s="861">
        <f>E48</f>
        <v/>
      </c>
      <c r="F88" s="865">
        <f>F48</f>
        <v/>
      </c>
      <c r="G88" s="863">
        <f>G48</f>
        <v/>
      </c>
      <c r="H88" s="865">
        <f>H48</f>
        <v/>
      </c>
      <c r="I88" s="865">
        <f>I48</f>
        <v/>
      </c>
      <c r="J88" s="865">
        <f>J48</f>
        <v/>
      </c>
      <c r="K88" s="865">
        <f>K48</f>
        <v/>
      </c>
      <c r="L88" s="863">
        <f>L48</f>
        <v/>
      </c>
      <c r="M88" s="865">
        <f>M48</f>
        <v/>
      </c>
      <c r="N88" s="865">
        <f>N48</f>
        <v/>
      </c>
      <c r="O88" s="865">
        <f>O48</f>
        <v/>
      </c>
      <c r="P88" s="865">
        <f>P48</f>
        <v/>
      </c>
      <c r="Q88" s="866">
        <f>Q48</f>
        <v/>
      </c>
      <c r="R88" s="865">
        <f>R48</f>
        <v/>
      </c>
      <c r="S88" s="865">
        <f>S48</f>
        <v/>
      </c>
      <c r="T88" s="865">
        <f>T48</f>
        <v/>
      </c>
      <c r="U88" s="865">
        <f>U48</f>
        <v/>
      </c>
      <c r="V88" s="866">
        <f>V48</f>
        <v/>
      </c>
      <c r="W88" s="867">
        <f>W48</f>
        <v/>
      </c>
      <c r="X88" s="837" t="n"/>
      <c r="Y88" s="545" t="n"/>
    </row>
    <row r="89" hidden="1" outlineLevel="2" customFormat="1" s="577">
      <c r="B89" s="547" t="inlineStr">
        <is>
          <t>IT Costs - integration</t>
        </is>
      </c>
      <c r="C89" s="577" t="n"/>
      <c r="D89" s="577" t="n"/>
      <c r="E89" s="904">
        <f>E49</f>
        <v/>
      </c>
      <c r="F89" s="862">
        <f>F49</f>
        <v/>
      </c>
      <c r="G89" s="863">
        <f>G49</f>
        <v/>
      </c>
      <c r="H89" s="862">
        <f>H49</f>
        <v/>
      </c>
      <c r="I89" s="862">
        <f>I49</f>
        <v/>
      </c>
      <c r="J89" s="862">
        <f>J49</f>
        <v/>
      </c>
      <c r="K89" s="862">
        <f>K49</f>
        <v/>
      </c>
      <c r="L89" s="863">
        <f>SUM(H89:K89)</f>
        <v/>
      </c>
      <c r="M89" s="862">
        <f>M49</f>
        <v/>
      </c>
      <c r="N89" s="862">
        <f>N49</f>
        <v/>
      </c>
      <c r="O89" s="862">
        <f>O49</f>
        <v/>
      </c>
      <c r="P89" s="862">
        <f>P49</f>
        <v/>
      </c>
      <c r="Q89" s="866">
        <f>SUM(M89:P89)</f>
        <v/>
      </c>
      <c r="R89" s="862">
        <f>R49</f>
        <v/>
      </c>
      <c r="S89" s="862">
        <f>S49</f>
        <v/>
      </c>
      <c r="T89" s="862">
        <f>T49</f>
        <v/>
      </c>
      <c r="U89" s="862">
        <f>U49</f>
        <v/>
      </c>
      <c r="V89" s="866">
        <f>SUM(R89:U89)</f>
        <v/>
      </c>
      <c r="W89" s="867">
        <f>W49</f>
        <v/>
      </c>
      <c r="X89" s="837" t="n"/>
      <c r="Y89" s="545" t="n"/>
    </row>
    <row r="90" hidden="1" outlineLevel="2" customFormat="1" s="535">
      <c r="B90" s="547" t="inlineStr">
        <is>
          <t>IT Costs - ongoing</t>
        </is>
      </c>
      <c r="C90" s="855" t="inlineStr">
        <is>
          <t>IT team</t>
        </is>
      </c>
      <c r="E90" s="852">
        <f>E50</f>
        <v/>
      </c>
      <c r="F90" s="853">
        <f>F50</f>
        <v/>
      </c>
      <c r="G90" s="869">
        <f>G50</f>
        <v/>
      </c>
      <c r="H90" s="853">
        <f>H50</f>
        <v/>
      </c>
      <c r="I90" s="853">
        <f>I50</f>
        <v/>
      </c>
      <c r="J90" s="853">
        <f>J50</f>
        <v/>
      </c>
      <c r="K90" s="853">
        <f>K50</f>
        <v/>
      </c>
      <c r="L90" s="869">
        <f>SUM(H90:K90)</f>
        <v/>
      </c>
      <c r="M90" s="853">
        <f>M50</f>
        <v/>
      </c>
      <c r="N90" s="853">
        <f>N50</f>
        <v/>
      </c>
      <c r="O90" s="853">
        <f>O50</f>
        <v/>
      </c>
      <c r="P90" s="853">
        <f>P50</f>
        <v/>
      </c>
      <c r="Q90" s="870">
        <f>SUM(M90:P90)</f>
        <v/>
      </c>
      <c r="R90" s="853">
        <f>R50</f>
        <v/>
      </c>
      <c r="S90" s="853">
        <f>S50</f>
        <v/>
      </c>
      <c r="T90" s="853">
        <f>T50</f>
        <v/>
      </c>
      <c r="U90" s="853">
        <f>U50</f>
        <v/>
      </c>
      <c r="V90" s="870">
        <f>SUM(R90:U90)</f>
        <v/>
      </c>
      <c r="W90" s="871">
        <f>W50</f>
        <v/>
      </c>
      <c r="X90" s="837" t="n"/>
      <c r="Y90" s="545" t="n"/>
      <c r="Z90" s="577" t="n"/>
      <c r="AA90" s="577" t="n"/>
    </row>
    <row r="91" hidden="1" outlineLevel="2" customFormat="1" s="535">
      <c r="B91" s="547" t="inlineStr">
        <is>
          <t>Valuation reviews</t>
        </is>
      </c>
      <c r="C91" s="855" t="inlineStr">
        <is>
          <t>Heather</t>
        </is>
      </c>
      <c r="E91" s="861">
        <f>E51</f>
        <v/>
      </c>
      <c r="F91" s="865">
        <f>F51</f>
        <v/>
      </c>
      <c r="G91" s="863">
        <f>G51</f>
        <v/>
      </c>
      <c r="H91" s="865">
        <f>H51</f>
        <v/>
      </c>
      <c r="I91" s="865">
        <f>I51</f>
        <v/>
      </c>
      <c r="J91" s="865">
        <f>J51</f>
        <v/>
      </c>
      <c r="K91" s="865">
        <f>K51</f>
        <v/>
      </c>
      <c r="L91" s="863">
        <f>SUM(H91:K91)</f>
        <v/>
      </c>
      <c r="M91" s="865">
        <f>M51</f>
        <v/>
      </c>
      <c r="N91" s="865">
        <f>N51</f>
        <v/>
      </c>
      <c r="O91" s="865">
        <f>O51</f>
        <v/>
      </c>
      <c r="P91" s="865">
        <f>P51</f>
        <v/>
      </c>
      <c r="Q91" s="866">
        <f>SUM(M91:P91)</f>
        <v/>
      </c>
      <c r="R91" s="865">
        <f>R51</f>
        <v/>
      </c>
      <c r="S91" s="865">
        <f>S51</f>
        <v/>
      </c>
      <c r="T91" s="865">
        <f>T51</f>
        <v/>
      </c>
      <c r="U91" s="865">
        <f>U51</f>
        <v/>
      </c>
      <c r="V91" s="866">
        <f>SUM(R91:U91)</f>
        <v/>
      </c>
      <c r="W91" s="867">
        <f>W51</f>
        <v/>
      </c>
      <c r="X91" s="837" t="n"/>
      <c r="Y91" s="604" t="n"/>
    </row>
    <row r="92" hidden="1" outlineLevel="2" customFormat="1" s="535">
      <c r="B92" s="547" t="inlineStr">
        <is>
          <t>Legal/Deal Expenses</t>
        </is>
      </c>
      <c r="C92" s="855" t="inlineStr">
        <is>
          <t>Nisha</t>
        </is>
      </c>
      <c r="E92" s="904">
        <f>E52</f>
        <v/>
      </c>
      <c r="F92" s="862">
        <f>F52</f>
        <v/>
      </c>
      <c r="G92" s="863">
        <f>G52</f>
        <v/>
      </c>
      <c r="H92" s="862">
        <f>H52</f>
        <v/>
      </c>
      <c r="I92" s="862">
        <f>I52</f>
        <v/>
      </c>
      <c r="J92" s="862">
        <f>J52</f>
        <v/>
      </c>
      <c r="K92" s="862">
        <f>K52</f>
        <v/>
      </c>
      <c r="L92" s="863">
        <f>SUM(H92:K92)</f>
        <v/>
      </c>
      <c r="M92" s="862">
        <f>M52</f>
        <v/>
      </c>
      <c r="N92" s="862">
        <f>N52</f>
        <v/>
      </c>
      <c r="O92" s="862">
        <f>O52</f>
        <v/>
      </c>
      <c r="P92" s="862">
        <f>P52</f>
        <v/>
      </c>
      <c r="Q92" s="866">
        <f>SUM(M92:P92)</f>
        <v/>
      </c>
      <c r="R92" s="862">
        <f>R52</f>
        <v/>
      </c>
      <c r="S92" s="862">
        <f>S52</f>
        <v/>
      </c>
      <c r="T92" s="862">
        <f>T52</f>
        <v/>
      </c>
      <c r="U92" s="862">
        <f>U52</f>
        <v/>
      </c>
      <c r="V92" s="866">
        <f>SUM(R92:U92)</f>
        <v/>
      </c>
      <c r="W92" s="867">
        <f>W52</f>
        <v/>
      </c>
      <c r="X92" s="837" t="n"/>
      <c r="Y92" s="545" t="n"/>
    </row>
    <row r="93" hidden="1" outlineLevel="2" customFormat="1" s="535">
      <c r="B93" s="547" t="inlineStr">
        <is>
          <t>Engineering non h/c</t>
        </is>
      </c>
      <c r="C93" s="855" t="inlineStr">
        <is>
          <t>Paul Quinn</t>
        </is>
      </c>
      <c r="E93" s="852">
        <f>E53</f>
        <v/>
      </c>
      <c r="F93" s="853">
        <f>F53</f>
        <v/>
      </c>
      <c r="G93" s="869">
        <f>G53</f>
        <v/>
      </c>
      <c r="H93" s="853">
        <f>H53</f>
        <v/>
      </c>
      <c r="I93" s="853">
        <f>I53</f>
        <v/>
      </c>
      <c r="J93" s="853">
        <f>J53</f>
        <v/>
      </c>
      <c r="K93" s="853">
        <f>K53</f>
        <v/>
      </c>
      <c r="L93" s="869">
        <f>SUM(H93:K93)</f>
        <v/>
      </c>
      <c r="M93" s="853">
        <f>M53</f>
        <v/>
      </c>
      <c r="N93" s="853">
        <f>N53</f>
        <v/>
      </c>
      <c r="O93" s="853">
        <f>O53</f>
        <v/>
      </c>
      <c r="P93" s="853">
        <f>P53</f>
        <v/>
      </c>
      <c r="Q93" s="870">
        <f>SUM(M93:P93)</f>
        <v/>
      </c>
      <c r="R93" s="853">
        <f>R53</f>
        <v/>
      </c>
      <c r="S93" s="853">
        <f>S53</f>
        <v/>
      </c>
      <c r="T93" s="853">
        <f>T53</f>
        <v/>
      </c>
      <c r="U93" s="853">
        <f>U53</f>
        <v/>
      </c>
      <c r="V93" s="870">
        <f>SUM(R93:U93)</f>
        <v/>
      </c>
      <c r="W93" s="871">
        <f>W53</f>
        <v/>
      </c>
      <c r="X93" s="837" t="n"/>
      <c r="Y93" s="545" t="n"/>
    </row>
    <row r="94" hidden="1" outlineLevel="2" customFormat="1" s="535">
      <c r="B94" s="547" t="inlineStr">
        <is>
          <t>Operations</t>
        </is>
      </c>
      <c r="C94" s="855" t="n"/>
      <c r="E94" s="852">
        <f>E54</f>
        <v/>
      </c>
      <c r="F94" s="853">
        <f>F54</f>
        <v/>
      </c>
      <c r="G94" s="905">
        <f>G54</f>
        <v/>
      </c>
      <c r="H94" s="853">
        <f>H54</f>
        <v/>
      </c>
      <c r="I94" s="853">
        <f>I54</f>
        <v/>
      </c>
      <c r="J94" s="853">
        <f>J54</f>
        <v/>
      </c>
      <c r="K94" s="853">
        <f>K54</f>
        <v/>
      </c>
      <c r="L94" s="905">
        <f>L54</f>
        <v/>
      </c>
      <c r="M94" s="853">
        <f>M54</f>
        <v/>
      </c>
      <c r="N94" s="853">
        <f>N54</f>
        <v/>
      </c>
      <c r="O94" s="853">
        <f>O54</f>
        <v/>
      </c>
      <c r="P94" s="853">
        <f>P54</f>
        <v/>
      </c>
      <c r="Q94" s="853">
        <f>Q54</f>
        <v/>
      </c>
      <c r="R94" s="853">
        <f>R54</f>
        <v/>
      </c>
      <c r="S94" s="853">
        <f>S54</f>
        <v/>
      </c>
      <c r="T94" s="853">
        <f>T54</f>
        <v/>
      </c>
      <c r="U94" s="853">
        <f>U54</f>
        <v/>
      </c>
      <c r="V94" s="853">
        <f>V54</f>
        <v/>
      </c>
      <c r="W94" s="906">
        <f>W54</f>
        <v/>
      </c>
      <c r="X94" s="853" t="n"/>
      <c r="Y94" s="545" t="n"/>
    </row>
    <row r="95" hidden="1" outlineLevel="2" customFormat="1" s="535">
      <c r="B95" s="547" t="inlineStr">
        <is>
          <t>Tax</t>
        </is>
      </c>
      <c r="C95" s="855" t="inlineStr">
        <is>
          <t>Anu/Harvey</t>
        </is>
      </c>
      <c r="E95" s="852">
        <f>E55</f>
        <v/>
      </c>
      <c r="F95" s="853">
        <f>F55</f>
        <v/>
      </c>
      <c r="G95" s="869">
        <f>G55</f>
        <v/>
      </c>
      <c r="H95" s="853">
        <f>H55</f>
        <v/>
      </c>
      <c r="I95" s="853">
        <f>I55</f>
        <v/>
      </c>
      <c r="J95" s="853">
        <f>J55</f>
        <v/>
      </c>
      <c r="K95" s="853">
        <f>K55</f>
        <v/>
      </c>
      <c r="L95" s="869">
        <f>SUM(H95:K95)</f>
        <v/>
      </c>
      <c r="M95" s="853">
        <f>M55</f>
        <v/>
      </c>
      <c r="N95" s="853">
        <f>N55</f>
        <v/>
      </c>
      <c r="O95" s="853">
        <f>O55</f>
        <v/>
      </c>
      <c r="P95" s="853">
        <f>P55</f>
        <v/>
      </c>
      <c r="Q95" s="870">
        <f>SUM(M95:P95)</f>
        <v/>
      </c>
      <c r="R95" s="853">
        <f>R55</f>
        <v/>
      </c>
      <c r="S95" s="853">
        <f>S55</f>
        <v/>
      </c>
      <c r="T95" s="853">
        <f>T55</f>
        <v/>
      </c>
      <c r="U95" s="853">
        <f>U55</f>
        <v/>
      </c>
      <c r="V95" s="870">
        <f>SUM(R95:U95)</f>
        <v/>
      </c>
      <c r="W95" s="871">
        <f>W55</f>
        <v/>
      </c>
      <c r="X95" s="837" t="n"/>
      <c r="Y95" s="545" t="inlineStr">
        <is>
          <t>Stamp duty cost - 2% of shares of company - would it go to p&amp;l?</t>
        </is>
      </c>
    </row>
    <row r="96" hidden="1" outlineLevel="2" customFormat="1" s="535">
      <c r="B96" s="547" t="inlineStr">
        <is>
          <t>Other</t>
        </is>
      </c>
      <c r="C96" s="855" t="inlineStr">
        <is>
          <t>Nish/Tom</t>
        </is>
      </c>
      <c r="E96" s="854">
        <f>E57</f>
        <v/>
      </c>
      <c r="F96" s="855">
        <f>F57</f>
        <v/>
      </c>
      <c r="G96" s="869">
        <f>G57</f>
        <v/>
      </c>
      <c r="H96" s="855">
        <f>H57</f>
        <v/>
      </c>
      <c r="I96" s="855">
        <f>I57</f>
        <v/>
      </c>
      <c r="J96" s="855">
        <f>J57</f>
        <v/>
      </c>
      <c r="K96" s="855">
        <f>K57</f>
        <v/>
      </c>
      <c r="L96" s="869">
        <f>SUM(H96:K96)</f>
        <v/>
      </c>
      <c r="M96" s="855">
        <f>M57</f>
        <v/>
      </c>
      <c r="N96" s="855">
        <f>N57</f>
        <v/>
      </c>
      <c r="O96" s="855">
        <f>O57</f>
        <v/>
      </c>
      <c r="P96" s="855">
        <f>P57</f>
        <v/>
      </c>
      <c r="Q96" s="870">
        <f>SUM(M96:P96)</f>
        <v/>
      </c>
      <c r="R96" s="855">
        <f>R57</f>
        <v/>
      </c>
      <c r="S96" s="855">
        <f>S57</f>
        <v/>
      </c>
      <c r="T96" s="855">
        <f>T57</f>
        <v/>
      </c>
      <c r="U96" s="855">
        <f>U57</f>
        <v/>
      </c>
      <c r="V96" s="870">
        <f>SUM(R96:U96)</f>
        <v/>
      </c>
      <c r="W96" s="871">
        <f>W57</f>
        <v/>
      </c>
      <c r="X96" s="837" t="n"/>
      <c r="Y96" s="545" t="n"/>
    </row>
    <row r="97" hidden="1" outlineLevel="2" customFormat="1" s="535">
      <c r="B97" s="754" t="inlineStr">
        <is>
          <t>Total Operating costs</t>
        </is>
      </c>
      <c r="C97" s="855" t="n"/>
      <c r="E97" s="881">
        <f>SUM(E84:E96)</f>
        <v/>
      </c>
      <c r="F97" s="882">
        <f>SUM(F84:F96)</f>
        <v/>
      </c>
      <c r="G97" s="883">
        <f>SUM(G84:G96)</f>
        <v/>
      </c>
      <c r="H97" s="882">
        <f>SUM(H84:H96)</f>
        <v/>
      </c>
      <c r="I97" s="882">
        <f>SUM(I84:I96)</f>
        <v/>
      </c>
      <c r="J97" s="882">
        <f>SUM(J84:J96)</f>
        <v/>
      </c>
      <c r="K97" s="882">
        <f>SUM(K84:K96)</f>
        <v/>
      </c>
      <c r="L97" s="883">
        <f>SUM(H97:K97)</f>
        <v/>
      </c>
      <c r="M97" s="882">
        <f>SUM(M84:M96)</f>
        <v/>
      </c>
      <c r="N97" s="882">
        <f>SUM(N84:N96)</f>
        <v/>
      </c>
      <c r="O97" s="882">
        <f>SUM(O84:O96)</f>
        <v/>
      </c>
      <c r="P97" s="882">
        <f>SUM(P84:P96)</f>
        <v/>
      </c>
      <c r="Q97" s="884">
        <f>SUM(M97:P97)</f>
        <v/>
      </c>
      <c r="R97" s="882">
        <f>SUM(R84:R96)</f>
        <v/>
      </c>
      <c r="S97" s="882">
        <f>SUM(S84:S96)</f>
        <v/>
      </c>
      <c r="T97" s="882">
        <f>SUM(T84:T96)</f>
        <v/>
      </c>
      <c r="U97" s="882">
        <f>SUM(U84:U96)</f>
        <v/>
      </c>
      <c r="V97" s="884">
        <f>SUM(R97:U97)</f>
        <v/>
      </c>
      <c r="W97" s="885">
        <f>SUM(W84:W96)</f>
        <v/>
      </c>
      <c r="X97" s="882" t="n"/>
      <c r="Y97" s="545" t="n"/>
    </row>
    <row r="98" hidden="1" outlineLevel="1" collapsed="1" customFormat="1" s="577">
      <c r="B98" s="758" t="inlineStr">
        <is>
          <t>Total costs (including one off costs)</t>
        </is>
      </c>
      <c r="C98" s="575" t="n"/>
      <c r="D98" s="907" t="n"/>
      <c r="E98" s="908">
        <f>+E59+E72</f>
        <v/>
      </c>
      <c r="F98" s="907">
        <f>+F59+F72</f>
        <v/>
      </c>
      <c r="G98" s="909">
        <f>+G59+G72</f>
        <v/>
      </c>
      <c r="H98" s="907">
        <f>+H59+H72</f>
        <v/>
      </c>
      <c r="I98" s="907">
        <f>+I59+I72</f>
        <v/>
      </c>
      <c r="J98" s="907">
        <f>+J59+J72</f>
        <v/>
      </c>
      <c r="K98" s="907">
        <f>+K59+K72</f>
        <v/>
      </c>
      <c r="L98" s="909">
        <f>+L59+L72</f>
        <v/>
      </c>
      <c r="M98" s="907">
        <f>+M59+M72</f>
        <v/>
      </c>
      <c r="N98" s="907">
        <f>+N59+N72</f>
        <v/>
      </c>
      <c r="O98" s="907">
        <f>+O59+O72</f>
        <v/>
      </c>
      <c r="P98" s="907">
        <f>+P59+P72</f>
        <v/>
      </c>
      <c r="Q98" s="907">
        <f>+Q59+Q72</f>
        <v/>
      </c>
      <c r="R98" s="907">
        <f>+R59+R72</f>
        <v/>
      </c>
      <c r="S98" s="907">
        <f>+S59+S72</f>
        <v/>
      </c>
      <c r="T98" s="907">
        <f>+T59+T72</f>
        <v/>
      </c>
      <c r="U98" s="907">
        <f>+U59+U72</f>
        <v/>
      </c>
      <c r="V98" s="907">
        <f>+V59+V72</f>
        <v/>
      </c>
      <c r="W98" s="907">
        <f>+W59+W72</f>
        <v/>
      </c>
      <c r="X98" s="837" t="n"/>
      <c r="Y98" s="545" t="n"/>
    </row>
    <row r="99" hidden="1" outlineLevel="1" collapsed="1" customFormat="1" s="577">
      <c r="B99" s="756" t="n"/>
      <c r="C99" s="577" t="n"/>
      <c r="D99" s="577" t="n"/>
      <c r="E99" s="910" t="n"/>
      <c r="F99" s="880" t="n"/>
      <c r="G99" s="889" t="n"/>
      <c r="H99" s="880" t="n"/>
      <c r="I99" s="880" t="n"/>
      <c r="J99" s="880" t="n"/>
      <c r="K99" s="880" t="n"/>
      <c r="L99" s="889" t="n"/>
      <c r="M99" s="880" t="n"/>
      <c r="N99" s="880" t="n"/>
      <c r="O99" s="880" t="n"/>
      <c r="P99" s="880" t="n"/>
      <c r="Q99" s="880" t="n"/>
      <c r="R99" s="880" t="n"/>
      <c r="S99" s="880" t="n"/>
      <c r="T99" s="880" t="n"/>
      <c r="U99" s="880" t="n"/>
      <c r="V99" s="880" t="n"/>
      <c r="W99" s="880" t="n"/>
      <c r="X99" s="837" t="n"/>
      <c r="Y99" s="545" t="n"/>
    </row>
    <row r="100" hidden="1" collapsed="1" ht="13.5" customFormat="1" customHeight="1" s="577" thickBot="1">
      <c r="B100" s="759" t="inlineStr">
        <is>
          <t>Non GAAP run rate costs</t>
        </is>
      </c>
      <c r="C100" s="578" t="n"/>
      <c r="D100" s="578" t="n"/>
      <c r="E100" s="911">
        <f>(E36+E38+E40+E45+E46+E50+E57+E70+E71+E54+E55+E53+E63+E65+E67+E41+E68)</f>
        <v/>
      </c>
      <c r="F100" s="912">
        <f>(F36+F38+F40+F45+F46+F50+F57+F70+F71+F54+F55+F53+F63+F65+F67+F41+F68)</f>
        <v/>
      </c>
      <c r="G100" s="913">
        <f>(G36+G38+G40+G45+G46+G50+G57+G70+G71+G54+G55+G53+G63+G65+G67+G41+G68)</f>
        <v/>
      </c>
      <c r="H100" s="912">
        <f>(H36+H38+H40+H45+H46+H50+H57+H70+H71+H54+H55+H53+H63+H65+H67+H41+H68)</f>
        <v/>
      </c>
      <c r="I100" s="912">
        <f>(I36+I38+I40+I45+I46+I50+I57+I70+I71+I54+I55+I53+I63+I65+I67+I41+I68)</f>
        <v/>
      </c>
      <c r="J100" s="912">
        <f>(J36+J38+J40+J45+J46+J50+J57+J70+J71+J54+J55+J53+J63+J65+J67+J41+J68)</f>
        <v/>
      </c>
      <c r="K100" s="912">
        <f>(K36+K38+K40+K45+K46+K50+K57+K70+K71+K54+K55+K53+K63+K65+K67+K41+K68)</f>
        <v/>
      </c>
      <c r="L100" s="914">
        <f>(L36+L38+L40+L45+L46+L50+L57+L70+L71+L54+L55+L53+L63+L65+L67+L41+L68)</f>
        <v/>
      </c>
      <c r="M100" s="915">
        <f>(M36+M38+M40+M45+M46+M50+M57+M70+M71+M54+M55+M53+M63+M65+M67+M41+M68)</f>
        <v/>
      </c>
      <c r="N100" s="915">
        <f>(N36+N38+N40+N45+N46+N50+N57+N70+N71+N54+N55+N53+N63+N65+N67+N41+N68)</f>
        <v/>
      </c>
      <c r="O100" s="915">
        <f>(O36+O38+O40+O45+O46+O50+O57+O70+O71+O54+O55+O53+O63+O65+O67+O41+O68)</f>
        <v/>
      </c>
      <c r="P100" s="915">
        <f>(P36+P38+P40+P45+P46+P50+P57+P70+P71+P54+P55+P53+P63+P65+P67+P41+P68)</f>
        <v/>
      </c>
      <c r="Q100" s="915">
        <f>(Q36+Q38+Q40+Q45+Q46+Q50+Q57+Q70+Q71+Q54+Q55+Q53+Q63+Q65+Q67+Q41+Q68)</f>
        <v/>
      </c>
      <c r="R100" s="915">
        <f>(R36+R38+R40+R45+R46+R50+R57+R70+R71+R54+R55+R53+R63+R65+R67+R41+R68)</f>
        <v/>
      </c>
      <c r="S100" s="915">
        <f>(S36+S38+S40+S45+S46+S50+S57+S70+S71+S54+S55+S53+S63+S65+S67+S41+S68)</f>
        <v/>
      </c>
      <c r="T100" s="915">
        <f>(T36+T38+T40+T45+T46+T50+T57+T70+T71+T54+T55+T53+T63+T65+T67+T41+T68)</f>
        <v/>
      </c>
      <c r="U100" s="915">
        <f>(U36+U38+U40+U45+U46+U50+U57+U70+U71+U54+U55+U53+U63+U65+U67+U41+U68)</f>
        <v/>
      </c>
      <c r="V100" s="915">
        <f>(V36+V38+V40+V45+V46+V50+V57+V70+V71+V54+V55+V53+V63+V65+V67+V41+V68)</f>
        <v/>
      </c>
      <c r="W100" s="916">
        <f>(W36+W38+W40+W45+W46+W50+W57+W70+W71+W54+W55+W53+W63+W65+W67+W41+W68)</f>
        <v/>
      </c>
      <c r="X100" s="847" t="n"/>
      <c r="Y100" s="545" t="n"/>
    </row>
    <row r="101" outlineLevel="1" ht="13.5" customFormat="1" customHeight="1" s="577" thickBot="1">
      <c r="A101" s="577" t="n"/>
      <c r="B101" s="547" t="n"/>
      <c r="C101" s="577" t="n"/>
      <c r="D101" s="577" t="n"/>
      <c r="E101" s="542" t="n"/>
      <c r="F101" s="577" t="n"/>
      <c r="G101" s="674" t="n"/>
      <c r="H101" s="577" t="n"/>
      <c r="I101" s="577" t="n"/>
      <c r="J101" s="577" t="n"/>
      <c r="K101" s="577" t="n"/>
      <c r="L101" s="674" t="n"/>
      <c r="M101" s="577" t="n"/>
      <c r="N101" s="577" t="n"/>
      <c r="O101" s="577" t="n"/>
      <c r="P101" s="577" t="n"/>
      <c r="Q101" s="577" t="n"/>
      <c r="R101" s="577" t="n"/>
      <c r="S101" s="577" t="n"/>
      <c r="T101" s="577" t="n"/>
      <c r="U101" s="577" t="n"/>
      <c r="V101" s="577" t="n"/>
      <c r="W101" s="577">
        <f>G101+L101+Q101+V101</f>
        <v/>
      </c>
      <c r="X101" s="577" t="n"/>
      <c r="Y101" s="545" t="n"/>
    </row>
    <row r="102" customFormat="1" s="607">
      <c r="B102" s="760" t="inlineStr">
        <is>
          <t xml:space="preserve">One Time Costs: </t>
        </is>
      </c>
      <c r="C102" s="917" t="n"/>
      <c r="E102" s="918" t="n"/>
      <c r="F102" s="917" t="n"/>
      <c r="G102" s="919" t="n"/>
      <c r="H102" s="917" t="n"/>
      <c r="I102" s="917" t="n"/>
      <c r="J102" s="917" t="n"/>
      <c r="K102" s="917" t="n"/>
      <c r="L102" s="919" t="n"/>
      <c r="M102" s="920" t="n"/>
      <c r="N102" s="920" t="n"/>
      <c r="O102" s="920" t="n"/>
      <c r="P102" s="920" t="n"/>
      <c r="Q102" s="921" t="n"/>
      <c r="R102" s="920" t="n"/>
      <c r="S102" s="920" t="n"/>
      <c r="T102" s="920" t="n"/>
      <c r="U102" s="920" t="n"/>
      <c r="V102" s="922" t="n"/>
      <c r="W102" s="923" t="n"/>
      <c r="X102" s="924" t="n"/>
      <c r="Y102" s="636" t="n"/>
    </row>
    <row r="103" hidden="1" outlineLevel="1" customFormat="1" s="607">
      <c r="B103" s="705" t="inlineStr">
        <is>
          <t>Founder Holdback</t>
        </is>
      </c>
      <c r="C103" s="917" t="n"/>
      <c r="E103" s="918">
        <f>E87</f>
        <v/>
      </c>
      <c r="F103" s="917">
        <f>F87</f>
        <v/>
      </c>
      <c r="G103" s="919" t="n"/>
      <c r="H103" s="917">
        <f>H87</f>
        <v/>
      </c>
      <c r="I103" s="917">
        <f>I87</f>
        <v/>
      </c>
      <c r="J103" s="917">
        <f>J87</f>
        <v/>
      </c>
      <c r="K103" s="917">
        <f>K87</f>
        <v/>
      </c>
      <c r="L103" s="919">
        <f>L87</f>
        <v/>
      </c>
      <c r="M103" s="917" t="n"/>
      <c r="N103" s="917" t="n"/>
      <c r="O103" s="917" t="n"/>
      <c r="P103" s="917" t="n"/>
      <c r="Q103" s="918" t="n"/>
      <c r="R103" s="917" t="n"/>
      <c r="S103" s="917" t="n"/>
      <c r="T103" s="917" t="n"/>
      <c r="U103" s="917" t="n"/>
      <c r="V103" s="925" t="n"/>
      <c r="W103" s="926" t="n"/>
      <c r="X103" s="924" t="n"/>
      <c r="Y103" s="636" t="n"/>
    </row>
    <row r="104" hidden="1" outlineLevel="2" ht="14.45" customFormat="1" customHeight="1" s="607">
      <c r="B104" s="705" t="inlineStr">
        <is>
          <t>Legal/Deal Expenses</t>
        </is>
      </c>
      <c r="C104" s="917" t="inlineStr">
        <is>
          <t>Nisha</t>
        </is>
      </c>
      <c r="E104" s="918" t="n"/>
      <c r="F104" s="917">
        <f>F52</f>
        <v/>
      </c>
      <c r="G104" s="919">
        <f>SUM(E104:F104)</f>
        <v/>
      </c>
      <c r="H104" s="917" t="n"/>
      <c r="I104" s="917" t="n"/>
      <c r="J104" s="917" t="n"/>
      <c r="K104" s="917" t="n"/>
      <c r="L104" s="919">
        <f>SUM(H104:K104)</f>
        <v/>
      </c>
      <c r="M104" s="917" t="n"/>
      <c r="N104" s="917" t="n"/>
      <c r="O104" s="917" t="n"/>
      <c r="P104" s="917" t="n"/>
      <c r="Q104" s="927">
        <f>SUM(M104:P104)</f>
        <v/>
      </c>
      <c r="R104" s="917" t="n"/>
      <c r="S104" s="917" t="n"/>
      <c r="T104" s="917" t="n"/>
      <c r="U104" s="917" t="n"/>
      <c r="V104" s="925">
        <f>SUM(R104:U104)</f>
        <v/>
      </c>
      <c r="W104" s="926">
        <f>G104+L104+Q104+V104</f>
        <v/>
      </c>
      <c r="X104" s="924" t="n"/>
      <c r="Y104" s="636" t="n"/>
    </row>
    <row r="105" hidden="1" outlineLevel="2" ht="14.45" customFormat="1" customHeight="1" s="607">
      <c r="B105" s="761" t="inlineStr">
        <is>
          <t>Security Blackduck</t>
        </is>
      </c>
      <c r="C105" s="928" t="inlineStr">
        <is>
          <t>Jonathan W</t>
        </is>
      </c>
      <c r="D105" s="632" t="n"/>
      <c r="E105" s="929">
        <f>E48</f>
        <v/>
      </c>
      <c r="F105" s="930" t="n">
        <v>0</v>
      </c>
      <c r="G105" s="931">
        <f>SUM(E105:F105)</f>
        <v/>
      </c>
      <c r="H105" s="928" t="n"/>
      <c r="I105" s="928" t="n"/>
      <c r="J105" s="928" t="n"/>
      <c r="K105" s="928" t="n"/>
      <c r="L105" s="931" t="n"/>
      <c r="M105" s="917" t="n"/>
      <c r="N105" s="917" t="n"/>
      <c r="O105" s="917" t="n"/>
      <c r="P105" s="917" t="n"/>
      <c r="Q105" s="918" t="n"/>
      <c r="R105" s="917" t="n"/>
      <c r="S105" s="917" t="n"/>
      <c r="T105" s="917" t="n"/>
      <c r="U105" s="917" t="n"/>
      <c r="V105" s="925" t="n"/>
      <c r="W105" s="926">
        <f>G105+L105+Q105+V105</f>
        <v/>
      </c>
      <c r="X105" s="924" t="n"/>
      <c r="Y105" s="642" t="n"/>
      <c r="Z105" s="642" t="inlineStr">
        <is>
          <t>HAVE MOVED THIS TO FOOTNOTE</t>
        </is>
      </c>
    </row>
    <row r="106" collapsed="1" ht="18.95" customFormat="1" customHeight="1" s="607">
      <c r="B106" s="705" t="inlineStr">
        <is>
          <t xml:space="preserve">Deal Costs </t>
        </is>
      </c>
      <c r="C106" s="917" t="n"/>
      <c r="D106" s="618" t="n"/>
      <c r="E106" s="918">
        <f>SUM(E103:E105)</f>
        <v/>
      </c>
      <c r="F106" s="917">
        <f>SUM(F103:F105)</f>
        <v/>
      </c>
      <c r="G106" s="688">
        <f>SUM(G103:G105)</f>
        <v/>
      </c>
      <c r="H106" s="727">
        <f>SUM(H103:H105)</f>
        <v/>
      </c>
      <c r="I106" s="689">
        <f>SUM(I103:I105)</f>
        <v/>
      </c>
      <c r="J106" s="689">
        <f>SUM(J103:J105)</f>
        <v/>
      </c>
      <c r="K106" s="689">
        <f>SUM(K103:K105)</f>
        <v/>
      </c>
      <c r="L106" s="688">
        <f>SUM(H106:K106)</f>
        <v/>
      </c>
      <c r="M106" s="932">
        <f>SUM(M104:M105)</f>
        <v/>
      </c>
      <c r="N106" s="932">
        <f>SUM(N104:N105)</f>
        <v/>
      </c>
      <c r="O106" s="932">
        <f>SUM(O104:O105)</f>
        <v/>
      </c>
      <c r="P106" s="932">
        <f>SUM(P104:P105)</f>
        <v/>
      </c>
      <c r="Q106" s="933">
        <f>SUM(Q104:Q105)</f>
        <v/>
      </c>
      <c r="R106" s="932">
        <f>SUM(R104:R105)</f>
        <v/>
      </c>
      <c r="S106" s="932">
        <f>SUM(S104:S105)</f>
        <v/>
      </c>
      <c r="T106" s="932">
        <f>SUM(T104:T105)</f>
        <v/>
      </c>
      <c r="U106" s="932">
        <f>SUM(U104:U105)</f>
        <v/>
      </c>
      <c r="V106" s="934">
        <f>SUM(V104:V105)</f>
        <v/>
      </c>
      <c r="W106" s="935">
        <f>SUM(W104:W105)</f>
        <v/>
      </c>
      <c r="X106" s="924" t="n"/>
      <c r="Y106" s="642" t="n"/>
      <c r="Z106" s="642" t="inlineStr">
        <is>
          <t>HAVE PUT FOUNDER EARN OUT COSTS IN AS A FOOTNOTE</t>
        </is>
      </c>
    </row>
    <row r="107" hidden="1" outlineLevel="2" ht="14.45" customFormat="1" customHeight="1" s="607">
      <c r="B107" s="762" t="inlineStr">
        <is>
          <t>Inventory write off - units that we will not sell</t>
        </is>
      </c>
      <c r="C107" s="917" t="inlineStr">
        <is>
          <t>Audrey</t>
        </is>
      </c>
      <c r="D107" s="618" t="n"/>
      <c r="E107" s="918" t="n"/>
      <c r="F107" s="936">
        <f>F30</f>
        <v/>
      </c>
      <c r="G107" s="688">
        <f>SUM(E107:F107)</f>
        <v/>
      </c>
      <c r="H107" s="689" t="n"/>
      <c r="I107" s="689" t="n"/>
      <c r="J107" s="689" t="n"/>
      <c r="K107" s="689" t="n"/>
      <c r="L107" s="688" t="n"/>
      <c r="M107" s="917" t="n"/>
      <c r="N107" s="917" t="n"/>
      <c r="O107" s="917" t="n"/>
      <c r="P107" s="917" t="n"/>
      <c r="Q107" s="918" t="n"/>
      <c r="R107" s="917" t="n"/>
      <c r="S107" s="917" t="n"/>
      <c r="T107" s="917" t="n"/>
      <c r="U107" s="917" t="n"/>
      <c r="V107" s="925" t="n"/>
      <c r="W107" s="926">
        <f>G107+L107+Q107+V107</f>
        <v/>
      </c>
      <c r="X107" s="924" t="n"/>
      <c r="Y107" s="646" t="inlineStr">
        <is>
          <t>Given it results from the transaction and our decision to discontinue selling their product (one time event), there is rationale for it to be GAAP expense only however it is not material enough to consider as GAAP only</t>
        </is>
      </c>
      <c r="Z107" s="646" t="n"/>
      <c r="AA107" s="646" t="n"/>
      <c r="AB107" s="646" t="n"/>
      <c r="AC107" s="646" t="n"/>
      <c r="AD107" s="646" t="n"/>
      <c r="AE107" s="646" t="n"/>
      <c r="AF107" s="646" t="n"/>
      <c r="AG107" s="646" t="n"/>
      <c r="AH107" s="646" t="n"/>
      <c r="AI107" s="646" t="n"/>
      <c r="AJ107" s="646" t="n"/>
      <c r="AK107" s="646" t="n"/>
      <c r="AL107" s="646" t="n"/>
      <c r="AM107" s="646" t="n"/>
      <c r="AN107" s="646" t="n"/>
      <c r="AO107" s="646" t="n"/>
    </row>
    <row r="108" hidden="1" outlineLevel="2" customFormat="1" s="607">
      <c r="B108" s="762" t="inlineStr">
        <is>
          <t>Inventory write off - Buy back of DokiPal units</t>
        </is>
      </c>
      <c r="C108" s="917" t="n"/>
      <c r="D108" s="618" t="n"/>
      <c r="E108" s="937">
        <f>E31</f>
        <v/>
      </c>
      <c r="F108" s="936">
        <f>F31</f>
        <v/>
      </c>
      <c r="G108" s="690">
        <f>G31</f>
        <v/>
      </c>
      <c r="H108" s="691">
        <f>H31</f>
        <v/>
      </c>
      <c r="I108" s="691">
        <f>I31</f>
        <v/>
      </c>
      <c r="J108" s="691">
        <f>J31</f>
        <v/>
      </c>
      <c r="K108" s="691">
        <f>K31</f>
        <v/>
      </c>
      <c r="L108" s="690">
        <f>L31</f>
        <v/>
      </c>
      <c r="M108" s="936">
        <f>M31</f>
        <v/>
      </c>
      <c r="N108" s="936">
        <f>N31</f>
        <v/>
      </c>
      <c r="O108" s="936">
        <f>O31</f>
        <v/>
      </c>
      <c r="P108" s="936">
        <f>P31</f>
        <v/>
      </c>
      <c r="Q108" s="937">
        <f>Q31</f>
        <v/>
      </c>
      <c r="R108" s="936">
        <f>R31</f>
        <v/>
      </c>
      <c r="S108" s="936">
        <f>S31</f>
        <v/>
      </c>
      <c r="T108" s="936">
        <f>T31</f>
        <v/>
      </c>
      <c r="U108" s="936">
        <f>U31</f>
        <v/>
      </c>
      <c r="V108" s="938">
        <f>V31</f>
        <v/>
      </c>
      <c r="W108" s="939">
        <f>W31</f>
        <v/>
      </c>
      <c r="X108" s="924" t="n"/>
      <c r="Y108" s="636" t="n"/>
    </row>
    <row r="109" hidden="1" outlineLevel="2" customFormat="1" s="607">
      <c r="B109" s="762" t="inlineStr">
        <is>
          <t>IT Costs - integration</t>
        </is>
      </c>
      <c r="C109" s="917" t="inlineStr">
        <is>
          <t>Bill B</t>
        </is>
      </c>
      <c r="D109" s="618" t="n"/>
      <c r="E109" s="918">
        <f>E49</f>
        <v/>
      </c>
      <c r="F109" s="917">
        <f>F49</f>
        <v/>
      </c>
      <c r="G109" s="688">
        <f>G49</f>
        <v/>
      </c>
      <c r="H109" s="689">
        <f>H49</f>
        <v/>
      </c>
      <c r="I109" s="689">
        <f>I49</f>
        <v/>
      </c>
      <c r="J109" s="689">
        <f>J49</f>
        <v/>
      </c>
      <c r="K109" s="689">
        <f>K49</f>
        <v/>
      </c>
      <c r="L109" s="688">
        <f>L49</f>
        <v/>
      </c>
      <c r="M109" s="917">
        <f>M49</f>
        <v/>
      </c>
      <c r="N109" s="917">
        <f>N49</f>
        <v/>
      </c>
      <c r="O109" s="917">
        <f>O49</f>
        <v/>
      </c>
      <c r="P109" s="917">
        <f>P49</f>
        <v/>
      </c>
      <c r="Q109" s="918">
        <f>Q49</f>
        <v/>
      </c>
      <c r="R109" s="917">
        <f>R49</f>
        <v/>
      </c>
      <c r="S109" s="917">
        <f>S49</f>
        <v/>
      </c>
      <c r="T109" s="917">
        <f>T49</f>
        <v/>
      </c>
      <c r="U109" s="917">
        <f>U49</f>
        <v/>
      </c>
      <c r="V109" s="925">
        <f>V49</f>
        <v/>
      </c>
      <c r="W109" s="926">
        <f>G109+L109+Q109+V109</f>
        <v/>
      </c>
      <c r="X109" s="924" t="n"/>
      <c r="AA109" s="650" t="n"/>
    </row>
    <row r="110" hidden="1" outlineLevel="2" ht="15" customFormat="1" customHeight="1" s="607">
      <c r="B110" s="762" t="inlineStr">
        <is>
          <t>Valuation reviews</t>
        </is>
      </c>
      <c r="C110" s="917" t="inlineStr">
        <is>
          <t>Heather</t>
        </is>
      </c>
      <c r="D110" s="618" t="n"/>
      <c r="E110" s="940" t="n"/>
      <c r="F110" s="941">
        <f>F51</f>
        <v/>
      </c>
      <c r="G110" s="692">
        <f>SUM(E110:F110)</f>
        <v/>
      </c>
      <c r="H110" s="693" t="n"/>
      <c r="I110" s="693" t="n"/>
      <c r="J110" s="693" t="n"/>
      <c r="K110" s="693" t="n"/>
      <c r="L110" s="692">
        <f>SUM(H110:K110)</f>
        <v/>
      </c>
      <c r="M110" s="917" t="n"/>
      <c r="N110" s="917" t="n"/>
      <c r="O110" s="917" t="n"/>
      <c r="P110" s="917" t="n"/>
      <c r="Q110" s="918">
        <f>SUM(M110:P110)</f>
        <v/>
      </c>
      <c r="R110" s="917" t="n"/>
      <c r="S110" s="917" t="n"/>
      <c r="T110" s="917" t="n"/>
      <c r="U110" s="917" t="n"/>
      <c r="V110" s="925">
        <f>SUM(R110:U110)</f>
        <v/>
      </c>
      <c r="W110" s="926">
        <f>G110+L110+Q110+V110</f>
        <v/>
      </c>
      <c r="X110" s="924" t="n"/>
      <c r="Y110" s="642" t="n"/>
    </row>
    <row r="111" collapsed="1" ht="18.95" customFormat="1" customHeight="1" s="607">
      <c r="B111" s="705" t="inlineStr">
        <is>
          <t>Integration Costs</t>
        </is>
      </c>
      <c r="C111" s="917" t="n"/>
      <c r="D111" s="618" t="n"/>
      <c r="E111" s="918">
        <f>SUM(E107:E110)</f>
        <v/>
      </c>
      <c r="F111" s="917">
        <f>SUM(F107:F110)</f>
        <v/>
      </c>
      <c r="G111" s="692">
        <f>SUM(G107:G110)</f>
        <v/>
      </c>
      <c r="H111" s="693">
        <f>SUM(H107:H110)</f>
        <v/>
      </c>
      <c r="I111" s="693">
        <f>SUM(I107:I110)</f>
        <v/>
      </c>
      <c r="J111" s="693">
        <f>SUM(J107:J110)</f>
        <v/>
      </c>
      <c r="K111" s="693">
        <f>SUM(K107:K110)</f>
        <v/>
      </c>
      <c r="L111" s="692">
        <f>SUM(H111:K111)</f>
        <v/>
      </c>
      <c r="M111" s="932">
        <f>SUM(M107:M110)</f>
        <v/>
      </c>
      <c r="N111" s="932">
        <f>SUM(N107:N110)</f>
        <v/>
      </c>
      <c r="O111" s="932">
        <f>SUM(O107:O110)</f>
        <v/>
      </c>
      <c r="P111" s="932">
        <f>SUM(P107:P110)</f>
        <v/>
      </c>
      <c r="Q111" s="933">
        <f>SUM(Q107:Q110)</f>
        <v/>
      </c>
      <c r="R111" s="932">
        <f>SUM(R107:R110)</f>
        <v/>
      </c>
      <c r="S111" s="932">
        <f>SUM(S107:S110)</f>
        <v/>
      </c>
      <c r="T111" s="932">
        <f>SUM(T107:T110)</f>
        <v/>
      </c>
      <c r="U111" s="932">
        <f>SUM(U107:U110)</f>
        <v/>
      </c>
      <c r="V111" s="934">
        <f>SUM(V107:V110)</f>
        <v/>
      </c>
      <c r="W111" s="935">
        <f>SUM(W107:W110)</f>
        <v/>
      </c>
      <c r="X111" s="924" t="n"/>
      <c r="Y111" s="942" t="n"/>
    </row>
    <row r="112" ht="17.45" customFormat="1" customHeight="1" s="618" thickBot="1">
      <c r="B112" s="760" t="inlineStr">
        <is>
          <t xml:space="preserve">Total One-Time Costs </t>
        </is>
      </c>
      <c r="C112" s="618" t="n"/>
      <c r="D112" s="618" t="n"/>
      <c r="E112" s="943">
        <f>E111+E106+E103</f>
        <v/>
      </c>
      <c r="F112" s="944">
        <f>F111+F106+F103</f>
        <v/>
      </c>
      <c r="G112" s="694">
        <f>G106+G111</f>
        <v/>
      </c>
      <c r="H112" s="695">
        <f>H106+H111</f>
        <v/>
      </c>
      <c r="I112" s="695">
        <f>I106+I111</f>
        <v/>
      </c>
      <c r="J112" s="695">
        <f>J106+J111</f>
        <v/>
      </c>
      <c r="K112" s="695">
        <f>K106+K111</f>
        <v/>
      </c>
      <c r="L112" s="694">
        <f>SUM(H112:K112)</f>
        <v/>
      </c>
      <c r="M112" s="945">
        <f>M111+M106</f>
        <v/>
      </c>
      <c r="N112" s="945">
        <f>N111+N106</f>
        <v/>
      </c>
      <c r="O112" s="945">
        <f>O111+O106</f>
        <v/>
      </c>
      <c r="P112" s="945">
        <f>P111+P106</f>
        <v/>
      </c>
      <c r="Q112" s="946">
        <f>Q111+Q106</f>
        <v/>
      </c>
      <c r="R112" s="945">
        <f>R111+R106</f>
        <v/>
      </c>
      <c r="S112" s="945">
        <f>S111+S106</f>
        <v/>
      </c>
      <c r="T112" s="945">
        <f>T111+T106</f>
        <v/>
      </c>
      <c r="U112" s="945">
        <f>U111+U106</f>
        <v/>
      </c>
      <c r="V112" s="947">
        <f>V111+V106</f>
        <v/>
      </c>
      <c r="W112" s="948">
        <f>W111+W106</f>
        <v/>
      </c>
      <c r="X112" s="944" t="n"/>
      <c r="Y112" s="942" t="n"/>
    </row>
    <row r="113" hidden="1" outlineLevel="1" customFormat="1" s="577">
      <c r="A113" s="577" t="n"/>
      <c r="B113" s="756" t="inlineStr">
        <is>
          <t>Check</t>
        </is>
      </c>
      <c r="C113" s="577" t="n"/>
      <c r="D113" s="577" t="n"/>
      <c r="E113" s="846">
        <f>E112-E52-E51-E48-E49-E30-E31</f>
        <v/>
      </c>
      <c r="F113" s="847">
        <f>F112-F52-F51-F48-F49-F30-F31</f>
        <v/>
      </c>
      <c r="G113" s="949">
        <f>G112-G52-G51-G48-G49-G30-G31</f>
        <v/>
      </c>
      <c r="H113" s="847">
        <f>H112-H52-H51-H48-H49-H30-H31</f>
        <v/>
      </c>
      <c r="I113" s="847">
        <f>I112-I52-I51-I48-I49-I30-I31</f>
        <v/>
      </c>
      <c r="J113" s="847">
        <f>J112-J52-J51-J48-J49-J30-J31</f>
        <v/>
      </c>
      <c r="K113" s="847">
        <f>K112-K52-K51-K48-K49-K30-K31</f>
        <v/>
      </c>
      <c r="L113" s="949">
        <f>L112-L52-L51-L48-L49-L30-L31</f>
        <v/>
      </c>
      <c r="M113" s="847">
        <f>M112-M52-M51-M48-M49-M30-M31</f>
        <v/>
      </c>
      <c r="N113" s="847">
        <f>N112-N52-N51-N48-N49-N30-N31</f>
        <v/>
      </c>
      <c r="O113" s="847">
        <f>O112-O52-O51-O48-O49-O30-O31</f>
        <v/>
      </c>
      <c r="P113" s="847">
        <f>P112-P52-P51-P48-P49-P30-P31</f>
        <v/>
      </c>
      <c r="Q113" s="847">
        <f>Q112-Q52-Q51-Q48-Q49-Q30-Q31</f>
        <v/>
      </c>
      <c r="R113" s="847">
        <f>R112-R52-R51-R48-R49-R30-R31</f>
        <v/>
      </c>
      <c r="S113" s="847">
        <f>S112-S52-S51-S48-S49-S30-S31</f>
        <v/>
      </c>
      <c r="T113" s="847">
        <f>T112-T52-T51-T48-T49-T30-T31</f>
        <v/>
      </c>
      <c r="U113" s="847">
        <f>U112-U52-U51-U48-U49-U30-U31</f>
        <v/>
      </c>
      <c r="V113" s="847">
        <f>V112-V52-V51-V48-V49-V30-V31</f>
        <v/>
      </c>
      <c r="W113" s="847">
        <f>W112-W52-W51-W48-W49-W30-W31</f>
        <v/>
      </c>
      <c r="X113" s="847" t="n"/>
      <c r="Y113" s="545" t="n"/>
    </row>
    <row r="114" hidden="1" outlineLevel="1" customFormat="1" s="577">
      <c r="B114" s="756" t="inlineStr">
        <is>
          <t>Check</t>
        </is>
      </c>
      <c r="C114" s="577" t="n"/>
      <c r="D114" s="577" t="n"/>
      <c r="E114" s="846">
        <f>E98-E112-E100</f>
        <v/>
      </c>
      <c r="F114" s="847">
        <f>F98-F112-F100</f>
        <v/>
      </c>
      <c r="G114" s="949">
        <f>G98-G112-G100</f>
        <v/>
      </c>
      <c r="H114" s="847">
        <f>H98-H112-H100</f>
        <v/>
      </c>
      <c r="I114" s="847">
        <f>I98-I112-I100</f>
        <v/>
      </c>
      <c r="J114" s="847">
        <f>J98-J112-J100</f>
        <v/>
      </c>
      <c r="K114" s="847">
        <f>K98-K112-K100</f>
        <v/>
      </c>
      <c r="L114" s="949">
        <f>L98-L112-L100</f>
        <v/>
      </c>
      <c r="M114" s="847">
        <f>M98-M112-M100</f>
        <v/>
      </c>
      <c r="N114" s="847">
        <f>N98-N112-N100</f>
        <v/>
      </c>
      <c r="O114" s="847">
        <f>O98-O112-O100</f>
        <v/>
      </c>
      <c r="P114" s="847">
        <f>P98-P112-P100</f>
        <v/>
      </c>
      <c r="Q114" s="847">
        <f>Q98-Q112-Q100</f>
        <v/>
      </c>
      <c r="R114" s="847">
        <f>R98-R112-R100</f>
        <v/>
      </c>
      <c r="S114" s="847">
        <f>S98-S112-S100</f>
        <v/>
      </c>
      <c r="T114" s="847">
        <f>T98-T112-T100</f>
        <v/>
      </c>
      <c r="U114" s="847">
        <f>U98-U112-U100</f>
        <v/>
      </c>
      <c r="V114" s="847">
        <f>V98-V112-V100</f>
        <v/>
      </c>
      <c r="W114" s="847">
        <f>W98-W112-W100</f>
        <v/>
      </c>
      <c r="X114" s="847" t="n"/>
      <c r="Y114" s="545" t="n"/>
    </row>
    <row r="115" collapsed="1" ht="11.1" customFormat="1" customHeight="1" s="577">
      <c r="B115" s="547" t="n"/>
      <c r="C115" s="577" t="n"/>
      <c r="D115" s="577" t="n"/>
      <c r="E115" s="542" t="n"/>
      <c r="F115" s="577" t="n"/>
      <c r="G115" s="674" t="n"/>
      <c r="H115" s="577" t="n"/>
      <c r="I115" s="577" t="n"/>
      <c r="J115" s="577" t="n"/>
      <c r="K115" s="577" t="n"/>
      <c r="L115" s="674" t="n"/>
      <c r="Q115" s="577" t="n"/>
      <c r="V115" s="577" t="n"/>
      <c r="W115" s="577" t="n"/>
      <c r="X115" s="577" t="n"/>
      <c r="Y115" s="545" t="n"/>
    </row>
    <row r="116" ht="18.6" customFormat="1" customHeight="1" s="577" thickBot="1">
      <c r="B116" s="763" t="inlineStr">
        <is>
          <t>NET TOTAL COSTS</t>
        </is>
      </c>
      <c r="C116" s="706" t="n"/>
      <c r="D116" s="706" t="n"/>
      <c r="E116" s="950">
        <f>E112+E27</f>
        <v/>
      </c>
      <c r="F116" s="950">
        <f>F112+F27</f>
        <v/>
      </c>
      <c r="G116" s="708">
        <f>G112+G27</f>
        <v/>
      </c>
      <c r="H116" s="709">
        <f>H112+H27</f>
        <v/>
      </c>
      <c r="I116" s="709">
        <f>I112+I27</f>
        <v/>
      </c>
      <c r="J116" s="709">
        <f>J112+J27</f>
        <v/>
      </c>
      <c r="K116" s="709">
        <f>K112+K27</f>
        <v/>
      </c>
      <c r="L116" s="708">
        <f>L112+L27</f>
        <v/>
      </c>
      <c r="M116" s="847" t="n"/>
      <c r="N116" s="847" t="n"/>
      <c r="O116" s="847" t="n"/>
      <c r="P116" s="847" t="n"/>
      <c r="Q116" s="847" t="n"/>
      <c r="R116" s="847" t="n"/>
      <c r="S116" s="847" t="n"/>
      <c r="T116" s="847" t="n"/>
      <c r="U116" s="847" t="n"/>
      <c r="V116" s="847" t="n"/>
      <c r="W116" s="847">
        <f>W98-W112-W27</f>
        <v/>
      </c>
      <c r="X116" s="577" t="n"/>
      <c r="Y116" s="545" t="n"/>
    </row>
    <row r="117" hidden="1" outlineLevel="1" customFormat="1" s="577">
      <c r="B117" s="542" t="n"/>
      <c r="C117" s="577" t="n"/>
      <c r="D117" s="577" t="n"/>
      <c r="E117" s="847" t="n"/>
      <c r="F117" s="847" t="n"/>
      <c r="G117" s="847" t="n"/>
      <c r="H117" s="847" t="n"/>
      <c r="I117" s="847" t="n"/>
      <c r="J117" s="847" t="n"/>
      <c r="K117" s="847" t="n"/>
      <c r="L117" s="951" t="n"/>
      <c r="M117" s="952" t="n"/>
      <c r="N117" s="952" t="n"/>
      <c r="O117" s="952" t="n"/>
      <c r="P117" s="952" t="n"/>
      <c r="Q117" s="952" t="n"/>
      <c r="R117" s="952" t="n"/>
      <c r="S117" s="952" t="n"/>
      <c r="T117" s="952" t="n"/>
      <c r="U117" s="952" t="n"/>
      <c r="V117" s="952" t="n"/>
      <c r="W117" s="953" t="n"/>
      <c r="X117" s="577" t="n"/>
      <c r="Y117" s="545" t="n"/>
    </row>
    <row r="118" hidden="1" outlineLevel="1" customFormat="1" s="577">
      <c r="B118" s="542" t="inlineStr">
        <is>
          <t>RSUs</t>
        </is>
      </c>
      <c r="C118" s="577" t="n"/>
      <c r="D118" s="577" t="n"/>
      <c r="E118" s="577" t="n"/>
      <c r="F118" s="847">
        <f>[1]Sheet1!$N$37/4</f>
        <v/>
      </c>
      <c r="G118" s="847">
        <f>F118</f>
        <v/>
      </c>
      <c r="H118" s="847">
        <f>G118</f>
        <v/>
      </c>
      <c r="I118" s="847">
        <f>H118</f>
        <v/>
      </c>
      <c r="J118" s="847">
        <f>I118</f>
        <v/>
      </c>
      <c r="K118" s="847">
        <f>J118</f>
        <v/>
      </c>
      <c r="L118" s="951">
        <f>SUM(H118:K118)</f>
        <v/>
      </c>
      <c r="M118" s="847">
        <f>H118</f>
        <v/>
      </c>
      <c r="N118" s="847">
        <f>M118</f>
        <v/>
      </c>
      <c r="O118" s="847">
        <f>N118</f>
        <v/>
      </c>
      <c r="P118" s="847">
        <f>O118</f>
        <v/>
      </c>
      <c r="Q118" s="847">
        <f>SUM(M118:P118)</f>
        <v/>
      </c>
      <c r="R118" s="847">
        <f>H118</f>
        <v/>
      </c>
      <c r="S118" s="847">
        <f>R118</f>
        <v/>
      </c>
      <c r="T118" s="847">
        <f>S118</f>
        <v/>
      </c>
      <c r="U118" s="847" t="n"/>
      <c r="V118" s="847">
        <f>SUM(R118:U118)</f>
        <v/>
      </c>
      <c r="W118" s="951">
        <f>G118+L118+Q118+V118</f>
        <v/>
      </c>
      <c r="X118" s="577" t="n"/>
      <c r="Y118" s="545" t="n"/>
    </row>
    <row r="119" hidden="1" outlineLevel="1" ht="13.5" customFormat="1" customHeight="1" s="577" thickBot="1">
      <c r="B119" s="590" t="inlineStr">
        <is>
          <t>Non GAAP Costs</t>
        </is>
      </c>
      <c r="C119" s="591" t="n"/>
      <c r="D119" s="591" t="n"/>
      <c r="E119" s="591" t="n"/>
      <c r="F119" s="591" t="n"/>
      <c r="G119" s="591" t="n"/>
      <c r="H119" s="591" t="n"/>
      <c r="I119" s="591" t="n"/>
      <c r="J119" s="591" t="n"/>
      <c r="K119" s="591" t="n"/>
      <c r="L119" s="592" t="n"/>
      <c r="M119" s="591" t="n"/>
      <c r="N119" s="591" t="n"/>
      <c r="O119" s="591" t="n"/>
      <c r="P119" s="591" t="n"/>
      <c r="Q119" s="591" t="n"/>
      <c r="R119" s="591" t="n"/>
      <c r="S119" s="591" t="n"/>
      <c r="T119" s="591" t="n"/>
      <c r="U119" s="591" t="n"/>
      <c r="V119" s="591" t="n"/>
      <c r="W119" s="592" t="n"/>
      <c r="X119" s="577" t="n"/>
      <c r="Y119" s="545" t="n"/>
    </row>
    <row r="120" collapsed="1" customFormat="1" s="577">
      <c r="X120" s="577" t="n"/>
      <c r="Y120" s="545" t="n"/>
    </row>
    <row r="121" hidden="1" outlineLevel="1" customFormat="1" s="577">
      <c r="B121" s="593" t="inlineStr">
        <is>
          <t>Working capital costs - purchase price negotiation or posted against Goodwill</t>
        </is>
      </c>
      <c r="C121" s="594" t="n"/>
      <c r="D121" s="594" t="n"/>
      <c r="E121" s="594" t="n"/>
      <c r="F121" s="594" t="n"/>
      <c r="G121" s="594" t="n"/>
      <c r="H121" s="594" t="n"/>
      <c r="I121" s="594" t="n"/>
      <c r="J121" s="594" t="n"/>
      <c r="K121" s="594" t="n"/>
      <c r="L121" s="596" t="n"/>
      <c r="M121" s="594" t="n"/>
      <c r="N121" s="594" t="n"/>
      <c r="O121" s="594" t="n"/>
      <c r="P121" s="594" t="n"/>
      <c r="Q121" s="594" t="n"/>
      <c r="R121" s="594" t="n"/>
      <c r="S121" s="594" t="n"/>
      <c r="T121" s="594" t="n"/>
      <c r="U121" s="594" t="n"/>
      <c r="V121" s="594" t="n"/>
      <c r="W121" s="596" t="n"/>
      <c r="X121" s="577" t="n"/>
      <c r="Y121" s="567" t="inlineStr">
        <is>
          <t>These are net working capital costs which are not already included in the books at the point of acquisition (whereas the inventory and facilities current lease costs above are our decision once we have already integrated)</t>
        </is>
      </c>
    </row>
    <row r="122" hidden="1" outlineLevel="1" customFormat="1" s="535">
      <c r="B122" s="542" t="inlineStr">
        <is>
          <t>Promo costs</t>
        </is>
      </c>
      <c r="C122" s="855" t="inlineStr">
        <is>
          <t>LB</t>
        </is>
      </c>
      <c r="E122" s="837" t="n"/>
      <c r="F122" s="853" t="n">
        <v>11485</v>
      </c>
      <c r="G122" s="837">
        <f>SUM(E122:F122)</f>
        <v/>
      </c>
      <c r="H122" s="837" t="n"/>
      <c r="I122" s="837" t="n"/>
      <c r="J122" s="837" t="n"/>
      <c r="K122" s="837" t="n"/>
      <c r="L122" s="871" t="n"/>
      <c r="M122" s="837" t="n"/>
      <c r="N122" s="837" t="n"/>
      <c r="O122" s="837" t="n"/>
      <c r="P122" s="837" t="n"/>
      <c r="Q122" s="837" t="n"/>
      <c r="R122" s="837" t="n"/>
      <c r="S122" s="837" t="n"/>
      <c r="T122" s="837" t="n"/>
      <c r="U122" s="837" t="n"/>
      <c r="V122" s="837" t="n"/>
      <c r="W122" s="867">
        <f>G122+L122+Q122+V122</f>
        <v/>
      </c>
      <c r="X122" s="837" t="n"/>
      <c r="Y122" s="567" t="inlineStr">
        <is>
          <t>Part of working capital/purchase price negotiation - will either be paid by them before integration or posted against goodwill</t>
        </is>
      </c>
    </row>
    <row r="123" hidden="1" outlineLevel="1" customFormat="1" s="535">
      <c r="B123" s="542" t="inlineStr">
        <is>
          <t>Back end rebates</t>
        </is>
      </c>
      <c r="C123" s="855" t="inlineStr">
        <is>
          <t>LB</t>
        </is>
      </c>
      <c r="E123" s="837" t="n"/>
      <c r="F123" s="853" t="n">
        <v>861</v>
      </c>
      <c r="G123" s="837">
        <f>SUM(E123:F123)</f>
        <v/>
      </c>
      <c r="H123" s="837" t="n"/>
      <c r="I123" s="837" t="n"/>
      <c r="J123" s="837" t="n"/>
      <c r="K123" s="837" t="n"/>
      <c r="L123" s="871" t="n"/>
      <c r="M123" s="855" t="n"/>
      <c r="N123" s="855" t="n"/>
      <c r="O123" s="855" t="n"/>
      <c r="P123" s="855" t="n"/>
      <c r="Q123" s="837" t="n"/>
      <c r="R123" s="837" t="n"/>
      <c r="S123" s="837" t="n"/>
      <c r="T123" s="837" t="n"/>
      <c r="U123" s="837" t="n"/>
      <c r="V123" s="837" t="n"/>
      <c r="W123" s="867">
        <f>G123+L123+Q123+V123</f>
        <v/>
      </c>
      <c r="X123" s="837" t="n"/>
      <c r="Y123" s="567" t="inlineStr">
        <is>
          <t>Part of working capital/purchase price negotiation - will either be paid by them before integration or posted against goodwill</t>
        </is>
      </c>
    </row>
    <row r="124" hidden="1" outlineLevel="1" customFormat="1" s="535">
      <c r="B124" s="542" t="inlineStr">
        <is>
          <t>Returns</t>
        </is>
      </c>
      <c r="C124" s="855" t="inlineStr">
        <is>
          <t>Audrey</t>
        </is>
      </c>
      <c r="E124" s="837" t="n"/>
      <c r="F124" s="853">
        <f>4000*(180*60%)*3.4%</f>
        <v/>
      </c>
      <c r="G124" s="837">
        <f>SUM(E124:F124)</f>
        <v/>
      </c>
      <c r="H124" s="837" t="n"/>
      <c r="I124" s="837" t="n"/>
      <c r="J124" s="837" t="n"/>
      <c r="K124" s="837" t="n"/>
      <c r="L124" s="871" t="n"/>
      <c r="M124" s="855" t="n"/>
      <c r="N124" s="855" t="n"/>
      <c r="O124" s="855" t="n"/>
      <c r="P124" s="855" t="n"/>
      <c r="Q124" s="837" t="n"/>
      <c r="R124" s="837" t="n"/>
      <c r="S124" s="837" t="n"/>
      <c r="T124" s="837" t="n"/>
      <c r="U124" s="837" t="n"/>
      <c r="V124" s="837" t="n"/>
      <c r="W124" s="867">
        <f>G124+L124+Q124+V124</f>
        <v/>
      </c>
      <c r="X124" s="837" t="n"/>
      <c r="Y124" s="567" t="inlineStr">
        <is>
          <t>Part of working capital/purchase price negotiation - will either be paid by them before integration or posted against goodwill</t>
        </is>
      </c>
      <c r="AA124" s="770" t="n"/>
      <c r="AB124" s="770" t="n"/>
      <c r="AC124" s="770" t="n"/>
      <c r="AD124" s="770" t="n"/>
      <c r="AE124" s="770" t="n"/>
      <c r="AF124" s="770" t="n"/>
      <c r="AG124" s="770" t="n"/>
      <c r="AH124" s="770" t="n"/>
    </row>
    <row r="125" hidden="1" outlineLevel="1" ht="14.45" customFormat="1" customHeight="1" s="535">
      <c r="B125" s="542" t="inlineStr">
        <is>
          <t>Additional warranty reserve</t>
        </is>
      </c>
      <c r="C125" s="855" t="inlineStr">
        <is>
          <t>Audrey</t>
        </is>
      </c>
      <c r="E125" s="535" t="n"/>
      <c r="F125" s="853">
        <f>((4882*(65+20)*2.5%)+((7100*(50+20)*4.3%)))-24255+300-790</f>
        <v/>
      </c>
      <c r="G125" s="837">
        <f>SUM(E125:F125)</f>
        <v/>
      </c>
      <c r="H125" s="837" t="n"/>
      <c r="I125" s="837" t="n"/>
      <c r="J125" s="837" t="n"/>
      <c r="K125" s="837" t="n"/>
      <c r="L125" s="871" t="n"/>
      <c r="M125" s="855" t="n"/>
      <c r="N125" s="855" t="n"/>
      <c r="O125" s="855" t="n"/>
      <c r="P125" s="855" t="n"/>
      <c r="Q125" s="837" t="n"/>
      <c r="R125" s="837" t="n"/>
      <c r="S125" s="837" t="n"/>
      <c r="T125" s="837" t="n"/>
      <c r="U125" s="837" t="n"/>
      <c r="V125" s="837" t="n"/>
      <c r="W125" s="867">
        <f>G125+L125+Q125+V125</f>
        <v/>
      </c>
      <c r="X125" s="837" t="n"/>
      <c r="Y125" s="567" t="inlineStr">
        <is>
          <t>Part of working capital/purchase price negotiation - will either be paid by them before integration or posted against goodwill</t>
        </is>
      </c>
      <c r="AA125" s="545" t="n"/>
      <c r="AB125" s="545" t="n"/>
      <c r="AC125" s="545" t="n"/>
      <c r="AD125" s="545" t="n"/>
      <c r="AE125" s="545" t="n"/>
      <c r="AF125" s="545" t="n"/>
      <c r="AG125" s="545" t="n"/>
      <c r="AH125" s="545" t="n"/>
    </row>
    <row r="126" hidden="1" outlineLevel="1" ht="14.45" customFormat="1" customHeight="1" s="535">
      <c r="B126" s="542" t="inlineStr">
        <is>
          <t>Inventory E&amp;O - Doki first generation units</t>
        </is>
      </c>
      <c r="C126" s="855" t="inlineStr">
        <is>
          <t>Audrey</t>
        </is>
      </c>
      <c r="E126" s="535" t="n"/>
      <c r="F126" s="853" t="n">
        <v>43000</v>
      </c>
      <c r="G126" s="837">
        <f>SUM(E126:F126)</f>
        <v/>
      </c>
      <c r="H126" s="837" t="n"/>
      <c r="I126" s="837" t="n"/>
      <c r="J126" s="837" t="n"/>
      <c r="K126" s="837" t="n"/>
      <c r="L126" s="871" t="n"/>
      <c r="M126" s="855" t="n"/>
      <c r="N126" s="855" t="n"/>
      <c r="O126" s="855" t="n"/>
      <c r="P126" s="855" t="n"/>
      <c r="Q126" s="837" t="n"/>
      <c r="R126" s="837" t="n"/>
      <c r="S126" s="837" t="n"/>
      <c r="T126" s="837" t="n"/>
      <c r="U126" s="837" t="n"/>
      <c r="V126" s="837" t="n"/>
      <c r="W126" s="867">
        <f>G126+L126+Q126+V126</f>
        <v/>
      </c>
      <c r="X126" s="837" t="n"/>
      <c r="Y126" s="567" t="inlineStr">
        <is>
          <t>Part of working capital/purchase price negotiation - will either be paid by them before integration or posted against goodwill</t>
        </is>
      </c>
      <c r="AA126" s="545" t="n"/>
      <c r="AB126" s="545" t="n"/>
      <c r="AC126" s="545" t="n"/>
      <c r="AD126" s="545" t="n"/>
      <c r="AE126" s="545" t="n"/>
      <c r="AF126" s="545" t="n"/>
      <c r="AG126" s="545" t="n"/>
      <c r="AH126" s="545" t="n"/>
    </row>
    <row r="127" hidden="1" outlineLevel="1" customFormat="1" s="535">
      <c r="B127" s="542" t="inlineStr">
        <is>
          <t>Tata communications</t>
        </is>
      </c>
      <c r="C127" s="855" t="inlineStr">
        <is>
          <t>Audrey</t>
        </is>
      </c>
      <c r="E127" s="837" t="n"/>
      <c r="F127" s="855">
        <f>4000*12</f>
        <v/>
      </c>
      <c r="G127" s="837">
        <f>SUM(E127:F127)</f>
        <v/>
      </c>
      <c r="H127" s="855" t="n"/>
      <c r="I127" s="855" t="n"/>
      <c r="J127" s="855" t="n"/>
      <c r="K127" s="855" t="n"/>
      <c r="L127" s="871" t="n"/>
      <c r="M127" s="855" t="n"/>
      <c r="N127" s="855" t="n"/>
      <c r="O127" s="855" t="n"/>
      <c r="P127" s="855" t="n"/>
      <c r="Q127" s="837">
        <f>SUM(M127:P127)</f>
        <v/>
      </c>
      <c r="R127" s="855" t="n"/>
      <c r="S127" s="855" t="n"/>
      <c r="T127" s="855" t="n"/>
      <c r="U127" s="855" t="n"/>
      <c r="V127" s="837">
        <f>SUM(R127:U127)</f>
        <v/>
      </c>
      <c r="W127" s="867">
        <f>G127+L127+Q127+V127</f>
        <v/>
      </c>
      <c r="X127" s="837" t="n"/>
      <c r="Y127" s="567" t="inlineStr">
        <is>
          <t>Part of working capital/purchase price negotiation - will either be paid by them before integration or posted against goodwill</t>
        </is>
      </c>
    </row>
    <row r="128" hidden="1" outlineLevel="1" ht="13.5" customFormat="1" customHeight="1" s="535" thickBot="1">
      <c r="B128" s="597" t="inlineStr">
        <is>
          <t>Total</t>
        </is>
      </c>
      <c r="C128" s="954" t="n"/>
      <c r="D128" s="599" t="n"/>
      <c r="E128" s="955" t="n"/>
      <c r="F128" s="956">
        <f>SUM(F122:F127)</f>
        <v/>
      </c>
      <c r="G128" s="955">
        <f>SUM(E128:F128)</f>
        <v/>
      </c>
      <c r="H128" s="955" t="n"/>
      <c r="I128" s="955" t="n"/>
      <c r="J128" s="955" t="n"/>
      <c r="K128" s="955" t="n"/>
      <c r="L128" s="957" t="n"/>
      <c r="M128" s="954" t="n"/>
      <c r="N128" s="954" t="n"/>
      <c r="O128" s="954" t="n"/>
      <c r="P128" s="954" t="n"/>
      <c r="Q128" s="955" t="n"/>
      <c r="R128" s="954" t="n"/>
      <c r="S128" s="954" t="n"/>
      <c r="T128" s="954" t="n"/>
      <c r="U128" s="954" t="n"/>
      <c r="V128" s="955" t="n"/>
      <c r="W128" s="958">
        <f>G128+L128+Q128+V128</f>
        <v/>
      </c>
      <c r="X128" s="837" t="n"/>
      <c r="Y128" s="567" t="inlineStr">
        <is>
          <t>Part of working capital/purchase price negotiation - will either be paid by them before integration or posted against goodwill</t>
        </is>
      </c>
    </row>
    <row r="129" hidden="1" outlineLevel="1" customFormat="1" s="577">
      <c r="B129" s="603" t="inlineStr">
        <is>
          <t>Vacation accrual is not included as its immaterial</t>
        </is>
      </c>
      <c r="X129" s="577" t="n"/>
      <c r="Z129" s="550" t="n"/>
      <c r="AA129" s="550" t="n"/>
      <c r="AB129" s="550" t="n"/>
      <c r="AC129" s="550" t="n"/>
      <c r="AD129" s="550" t="n"/>
      <c r="AE129" s="550" t="n"/>
      <c r="AF129" s="550" t="n"/>
      <c r="AG129" s="550" t="n"/>
      <c r="AH129" s="550" t="n"/>
      <c r="AI129" s="550" t="n"/>
      <c r="AJ129" s="550" t="n"/>
      <c r="AK129" s="550" t="n"/>
      <c r="AL129" s="550" t="n"/>
      <c r="AM129" s="550" t="n"/>
      <c r="AN129" s="550" t="n"/>
      <c r="AO129" s="550" t="n"/>
    </row>
    <row r="130" collapsed="1" customFormat="1" s="577">
      <c r="X130" s="577" t="n"/>
      <c r="Y130" s="545" t="n"/>
    </row>
    <row r="131" customFormat="1" s="577">
      <c r="B131" s="577" t="inlineStr">
        <is>
          <t>Average HC Cost/Eng</t>
        </is>
      </c>
      <c r="F131" s="959">
        <f>F19/F14</f>
        <v/>
      </c>
      <c r="G131" s="959">
        <f>G19/G14</f>
        <v/>
      </c>
      <c r="H131" s="959">
        <f>H19/H14</f>
        <v/>
      </c>
      <c r="I131" s="959">
        <f>I19/I14</f>
        <v/>
      </c>
      <c r="J131" s="959">
        <f>J19/J14</f>
        <v/>
      </c>
      <c r="K131" s="959">
        <f>K19/K14</f>
        <v/>
      </c>
      <c r="L131" s="959">
        <f>L19/L14</f>
        <v/>
      </c>
      <c r="X131" s="577" t="n"/>
      <c r="Y131" s="545" t="n"/>
      <c r="Z131" s="604" t="inlineStr">
        <is>
          <t>WHICH ONE</t>
        </is>
      </c>
    </row>
    <row r="132" customFormat="1" s="577">
      <c r="B132" s="577" t="inlineStr">
        <is>
          <t>Average salary/Eng</t>
        </is>
      </c>
      <c r="F132" s="959">
        <f>F78/F14</f>
        <v/>
      </c>
      <c r="G132" s="959">
        <f>G78/G14</f>
        <v/>
      </c>
      <c r="H132" s="959">
        <f>H78/H14</f>
        <v/>
      </c>
      <c r="I132" s="959">
        <f>I78/I14</f>
        <v/>
      </c>
      <c r="J132" s="959">
        <f>J78/J14</f>
        <v/>
      </c>
      <c r="K132" s="959">
        <f>K78/K14</f>
        <v/>
      </c>
      <c r="L132" s="959">
        <f>L78/L14</f>
        <v/>
      </c>
      <c r="X132" s="577" t="n"/>
      <c r="Y132" s="545" t="n"/>
    </row>
    <row r="133" customFormat="1" s="577">
      <c r="X133" s="577" t="n"/>
      <c r="Y133" s="545" t="n"/>
    </row>
    <row r="134">
      <c r="L134" s="656">
        <f>L132/L131</f>
        <v/>
      </c>
    </row>
  </sheetData>
  <mergeCells count="17">
    <mergeCell ref="Y67:AH67"/>
    <mergeCell ref="Y41:AH41"/>
    <mergeCell ref="Y80:AH80"/>
    <mergeCell ref="Y13:AH13"/>
    <mergeCell ref="B7:W7"/>
    <mergeCell ref="Y65:AH65"/>
    <mergeCell ref="Y79:AH79"/>
    <mergeCell ref="Y36:AH36"/>
    <mergeCell ref="Y12:AH12"/>
    <mergeCell ref="Y7:AO7"/>
    <mergeCell ref="Y78:AH78"/>
    <mergeCell ref="E9:G9"/>
    <mergeCell ref="AI43:AR43"/>
    <mergeCell ref="M9:Q9"/>
    <mergeCell ref="Y38:AH38"/>
    <mergeCell ref="R9:V9"/>
    <mergeCell ref="B6:W6"/>
  </mergeCells>
  <hyperlinks>
    <hyperlink xmlns:r="http://schemas.openxmlformats.org/officeDocument/2006/relationships" ref="AI43" display="HC Costs Copy of Delta Comp v2- 9.27.19 - Sent to Casper.xlsx" r:id="rId1"/>
  </hyperlinks>
  <pageMargins left="0.7" right="0.7" top="0.75" bottom="0.75" header="0.3" footer="0.3"/>
  <pageSetup orientation="portrait"/>
</worksheet>
</file>

<file path=xl/worksheets/sheet3.xml><?xml version="1.0" encoding="utf-8"?>
<worksheet xmlns="http://schemas.openxmlformats.org/spreadsheetml/2006/main">
  <sheetPr>
    <tabColor rgb="FFFFFF00"/>
    <outlinePr summaryBelow="1" summaryRight="1"/>
    <pageSetUpPr/>
  </sheetPr>
  <dimension ref="A1:AR117"/>
  <sheetViews>
    <sheetView showGridLines="0" zoomScale="60" zoomScaleNormal="60" workbookViewId="0">
      <pane xSplit="4" ySplit="10" topLeftCell="E11" activePane="bottomRight" state="frozen"/>
      <selection pane="topRight" activeCell="L1" sqref="L1"/>
      <selection pane="bottomLeft" activeCell="A5" sqref="A5"/>
      <selection pane="bottomRight" activeCell="F137" sqref="F137"/>
    </sheetView>
  </sheetViews>
  <sheetFormatPr baseColWidth="8" defaultColWidth="9.140625" defaultRowHeight="15" outlineLevelRow="4"/>
  <cols>
    <col width="1.5703125" customWidth="1" style="303" min="1" max="1"/>
    <col width="16.85546875" customWidth="1" style="303" min="2" max="2"/>
    <col hidden="1" outlineLevel="1" width="11.85546875" customWidth="1" style="305" min="3" max="3"/>
    <col collapsed="1" width="6.140625" customWidth="1" style="303" min="4" max="4"/>
    <col outlineLevel="2" width="12.140625" customWidth="1" style="305" min="5" max="6"/>
    <col width="12.140625" bestFit="1" customWidth="1" style="305" min="7" max="7"/>
    <col width="12.140625" customWidth="1" style="305" min="8" max="9"/>
    <col outlineLevel="1" width="12.140625" customWidth="1" style="305" min="10" max="11"/>
    <col width="13.85546875" customWidth="1" style="305" min="12" max="12"/>
    <col hidden="1" outlineLevel="2" width="12.140625" customWidth="1" style="305" min="13" max="16"/>
    <col hidden="1" outlineLevel="1" collapsed="1" width="12.5703125" customWidth="1" style="305" min="17" max="17"/>
    <col hidden="1" outlineLevel="3" width="12.140625" customWidth="1" style="305" min="18" max="21"/>
    <col hidden="1" outlineLevel="1" collapsed="1" width="13.85546875" customWidth="1" style="305" min="22" max="22"/>
    <col hidden="1" outlineLevel="1" width="13.85546875" customWidth="1" style="305" min="23" max="23"/>
    <col collapsed="1" width="4.42578125" customWidth="1" style="305" min="24" max="24"/>
    <col hidden="1" outlineLevel="1" width="9.140625" customWidth="1" style="216" min="25" max="25"/>
    <col collapsed="1" width="16.7109375" customWidth="1" style="303" min="26" max="26"/>
    <col width="10.28515625" bestFit="1" customWidth="1" style="303" min="27" max="27"/>
    <col width="9.140625" customWidth="1" style="303" min="28" max="28"/>
    <col width="0.85546875" customWidth="1" style="303" min="29" max="29"/>
    <col hidden="1" width="9.140625" customWidth="1" style="303" min="30" max="34"/>
    <col width="29.28515625" customWidth="1" style="303" min="35" max="35"/>
    <col width="9.140625" customWidth="1" style="303" min="36" max="16384"/>
  </cols>
  <sheetData>
    <row r="1" ht="16.5" customHeight="1" s="802">
      <c r="A1" s="163" t="inlineStr">
        <is>
          <t>DELTA COST CENTRE MODEL - DRAFT&amp;CONFIDENTIAL</t>
        </is>
      </c>
      <c r="B1" s="164" t="n"/>
      <c r="U1" s="246" t="n"/>
      <c r="Y1" s="218" t="inlineStr">
        <is>
          <t>STATUS</t>
        </is>
      </c>
    </row>
    <row r="2" outlineLevel="1" ht="18.75" customHeight="1" s="802">
      <c r="A2" s="163" t="n"/>
      <c r="B2" s="445" t="inlineStr">
        <is>
          <t>- Expect cash usage of $3m-$3.5m upon signing</t>
        </is>
      </c>
      <c r="C2" s="446" t="n"/>
      <c r="D2" s="447" t="n"/>
      <c r="E2" s="447" t="n"/>
      <c r="F2" s="446" t="n"/>
      <c r="G2" s="446" t="n"/>
      <c r="H2" s="446" t="n"/>
      <c r="I2" s="446" t="n"/>
      <c r="J2" s="446" t="n"/>
      <c r="K2" s="446" t="n"/>
      <c r="L2" s="446" t="n"/>
      <c r="M2" s="446" t="n"/>
      <c r="N2" s="446" t="n"/>
      <c r="O2" s="446" t="n"/>
      <c r="P2" s="446" t="n"/>
      <c r="Q2" s="446" t="n"/>
      <c r="R2" s="446" t="n"/>
      <c r="S2" s="446" t="n"/>
      <c r="T2" s="446" t="n"/>
      <c r="U2" s="448" t="n"/>
      <c r="V2" s="446" t="n"/>
      <c r="W2" s="446" t="n"/>
      <c r="Y2" s="216" t="inlineStr">
        <is>
          <t>Will Audrey be on the call later?</t>
        </is>
      </c>
    </row>
    <row r="3" outlineLevel="1" ht="18.75" customHeight="1" s="802">
      <c r="A3" s="163" t="n"/>
      <c r="B3" s="449" t="inlineStr">
        <is>
          <t>- Delta is expected to add approx $3.8m to opex run - rate ($2.8m of which are headcount costs)</t>
        </is>
      </c>
      <c r="C3" s="446" t="n"/>
      <c r="D3" s="447" t="n"/>
      <c r="E3" s="446" t="n"/>
      <c r="F3" s="446" t="n"/>
      <c r="G3" s="446" t="n"/>
      <c r="H3" s="446" t="n"/>
      <c r="I3" s="446" t="n"/>
      <c r="J3" s="446" t="n"/>
      <c r="K3" s="446" t="n"/>
      <c r="L3" s="446" t="n"/>
      <c r="M3" s="446" t="n"/>
      <c r="N3" s="446" t="n"/>
      <c r="O3" s="446" t="n"/>
      <c r="P3" s="446" t="n"/>
      <c r="Q3" s="446" t="n"/>
      <c r="R3" s="446" t="n"/>
      <c r="S3" s="446" t="n"/>
      <c r="T3" s="446" t="n"/>
      <c r="U3" s="448" t="n"/>
      <c r="V3" s="446" t="n"/>
      <c r="W3" s="446" t="n"/>
    </row>
    <row r="4" outlineLevel="1" ht="18.75" customHeight="1" s="802">
      <c r="A4" s="163" t="n"/>
      <c r="B4" s="449" t="inlineStr">
        <is>
          <t xml:space="preserve">     - Includes 14 existing heads and 14 new hires (13 engineers plus 1 product designer)</t>
        </is>
      </c>
      <c r="C4" s="446" t="n"/>
      <c r="D4" s="447" t="n"/>
      <c r="E4" s="446" t="n"/>
      <c r="F4" s="446" t="n"/>
      <c r="G4" s="446" t="n"/>
      <c r="H4" s="446" t="n"/>
      <c r="I4" s="446" t="n"/>
      <c r="J4" s="446" t="n"/>
      <c r="K4" s="446" t="n"/>
      <c r="L4" s="446" t="n"/>
      <c r="M4" s="446" t="n"/>
      <c r="N4" s="446" t="n"/>
      <c r="O4" s="446" t="n"/>
      <c r="P4" s="446" t="n"/>
      <c r="Q4" s="446" t="n"/>
      <c r="R4" s="446" t="n"/>
      <c r="S4" s="446" t="n"/>
      <c r="T4" s="446" t="n"/>
      <c r="U4" s="448" t="n"/>
      <c r="V4" s="446" t="n"/>
      <c r="W4" s="446" t="n"/>
    </row>
    <row r="5" outlineLevel="1" ht="16.5" customHeight="1" s="802">
      <c r="A5" s="163" t="n"/>
      <c r="B5" s="449" t="inlineStr">
        <is>
          <t xml:space="preserve">     - cost centre will roll into Jon Oakes</t>
        </is>
      </c>
      <c r="C5" s="446" t="n"/>
      <c r="D5" s="447" t="n"/>
      <c r="E5" s="446" t="n"/>
      <c r="F5" s="446" t="n"/>
      <c r="G5" s="446" t="n"/>
      <c r="H5" s="446" t="n"/>
      <c r="I5" s="446" t="n"/>
      <c r="J5" s="446" t="n"/>
      <c r="K5" s="446" t="n"/>
      <c r="L5" s="446" t="n"/>
      <c r="M5" s="446" t="n"/>
      <c r="N5" s="446" t="n"/>
      <c r="O5" s="446" t="n"/>
      <c r="P5" s="446" t="n"/>
      <c r="Q5" s="446" t="n"/>
      <c r="R5" s="446" t="n"/>
      <c r="S5" s="446" t="n"/>
      <c r="T5" s="446" t="n"/>
      <c r="U5" s="448" t="n"/>
      <c r="V5" s="446" t="n"/>
      <c r="W5" s="446" t="n"/>
    </row>
    <row r="6" outlineLevel="1" ht="18.75" customHeight="1" s="802">
      <c r="A6" s="163" t="n"/>
      <c r="B6" s="776" t="inlineStr">
        <is>
          <t>- 1-time integration/deal costs of $900k, additional costs of $452k expected to be negotiated as part of purchase price/working capital negotiation</t>
        </is>
      </c>
    </row>
    <row r="7" outlineLevel="1" ht="19.5" customHeight="1" s="802" thickBot="1">
      <c r="A7" s="163" t="n"/>
      <c r="B7" s="776" t="inlineStr">
        <is>
          <t xml:space="preserve">- Founder earnout of $2.25 is not included in the p&amp;l </t>
        </is>
      </c>
      <c r="Y7" s="960" t="n"/>
    </row>
    <row r="8" hidden="1" ht="16.5" customHeight="1" s="802" thickBot="1">
      <c r="A8" s="163" t="n"/>
      <c r="B8" s="164" t="n"/>
      <c r="U8" s="246" t="n"/>
    </row>
    <row r="9" ht="16.5" customHeight="1" s="802" thickBot="1">
      <c r="B9" s="171" t="n"/>
      <c r="C9" s="172" t="n"/>
      <c r="D9" s="173" t="n"/>
      <c r="E9" s="961" t="n">
        <v>2019</v>
      </c>
      <c r="F9" s="834" t="n"/>
      <c r="G9" s="835" t="n"/>
      <c r="H9" s="961" t="n">
        <v>2020</v>
      </c>
      <c r="I9" s="834" t="n"/>
      <c r="J9" s="834" t="n"/>
      <c r="K9" s="834" t="n"/>
      <c r="L9" s="835" t="n"/>
      <c r="M9" s="779" t="n">
        <v>2021</v>
      </c>
      <c r="N9" s="834" t="n"/>
      <c r="O9" s="834" t="n"/>
      <c r="P9" s="834" t="n"/>
      <c r="Q9" s="835" t="n"/>
      <c r="R9" s="961" t="n">
        <v>2022</v>
      </c>
      <c r="S9" s="834" t="n"/>
      <c r="T9" s="834" t="n"/>
      <c r="U9" s="834" t="n"/>
      <c r="V9" s="835" t="n"/>
      <c r="W9" s="174" t="inlineStr">
        <is>
          <t>TOTAL COSTS</t>
        </is>
      </c>
      <c r="X9" s="175" t="n"/>
      <c r="Y9" s="216" t="n"/>
    </row>
    <row r="10">
      <c r="B10" s="177" t="n"/>
      <c r="C10" s="962" t="inlineStr">
        <is>
          <t>Provided by</t>
        </is>
      </c>
      <c r="D10" s="303" t="n"/>
      <c r="E10" s="180" t="inlineStr">
        <is>
          <t>Q3</t>
        </is>
      </c>
      <c r="F10" s="180" t="inlineStr">
        <is>
          <t>Q4</t>
        </is>
      </c>
      <c r="G10" s="181" t="inlineStr">
        <is>
          <t>FY</t>
        </is>
      </c>
      <c r="H10" s="182" t="inlineStr">
        <is>
          <t>Q1</t>
        </is>
      </c>
      <c r="I10" s="183" t="inlineStr">
        <is>
          <t>Q2</t>
        </is>
      </c>
      <c r="J10" s="183" t="inlineStr">
        <is>
          <t>Q3</t>
        </is>
      </c>
      <c r="K10" s="184" t="inlineStr">
        <is>
          <t>Q4</t>
        </is>
      </c>
      <c r="L10" s="185" t="inlineStr">
        <is>
          <t>FY</t>
        </is>
      </c>
      <c r="M10" s="180" t="inlineStr">
        <is>
          <t>Q1</t>
        </is>
      </c>
      <c r="N10" s="183" t="inlineStr">
        <is>
          <t>Q2</t>
        </is>
      </c>
      <c r="O10" s="183" t="inlineStr">
        <is>
          <t>Q3</t>
        </is>
      </c>
      <c r="P10" s="186" t="inlineStr">
        <is>
          <t>Q4</t>
        </is>
      </c>
      <c r="Q10" s="185" t="inlineStr">
        <is>
          <t>FY</t>
        </is>
      </c>
      <c r="R10" s="182" t="inlineStr">
        <is>
          <t>Q1</t>
        </is>
      </c>
      <c r="S10" s="183" t="inlineStr">
        <is>
          <t>Q2</t>
        </is>
      </c>
      <c r="T10" s="183" t="inlineStr">
        <is>
          <t>Q3</t>
        </is>
      </c>
      <c r="U10" s="186" t="inlineStr">
        <is>
          <t>Q4</t>
        </is>
      </c>
      <c r="V10" s="185" t="inlineStr">
        <is>
          <t>FY</t>
        </is>
      </c>
      <c r="W10" s="186" t="inlineStr">
        <is>
          <t>FY 2019 - 2022</t>
        </is>
      </c>
      <c r="X10" s="187" t="n"/>
      <c r="Y10" s="303" t="n"/>
    </row>
    <row r="11" customFormat="1" s="212">
      <c r="B11" s="189" t="inlineStr">
        <is>
          <t>Delta Employees</t>
        </is>
      </c>
      <c r="C11" s="190" t="n"/>
      <c r="D11" s="190" t="n"/>
      <c r="E11" s="963" t="n"/>
      <c r="F11" s="963">
        <f>[1]Sheet1!$A$28</f>
        <v/>
      </c>
      <c r="G11" s="964">
        <f>F11</f>
        <v/>
      </c>
      <c r="H11" s="964">
        <f>G11</f>
        <v/>
      </c>
      <c r="I11" s="963">
        <f>H11</f>
        <v/>
      </c>
      <c r="J11" s="963">
        <f>I11</f>
        <v/>
      </c>
      <c r="K11" s="963">
        <f>J11</f>
        <v/>
      </c>
      <c r="L11" s="965">
        <f>K11</f>
        <v/>
      </c>
      <c r="M11" s="963">
        <f>L11</f>
        <v/>
      </c>
      <c r="N11" s="963">
        <f>M11</f>
        <v/>
      </c>
      <c r="O11" s="963">
        <f>N11</f>
        <v/>
      </c>
      <c r="P11" s="963">
        <f>O11</f>
        <v/>
      </c>
      <c r="Q11" s="964">
        <f>P11</f>
        <v/>
      </c>
      <c r="R11" s="964">
        <f>Q11</f>
        <v/>
      </c>
      <c r="S11" s="963">
        <f>R11</f>
        <v/>
      </c>
      <c r="T11" s="963">
        <f>S11</f>
        <v/>
      </c>
      <c r="U11" s="963">
        <f>T11</f>
        <v/>
      </c>
      <c r="V11" s="964">
        <f>U11</f>
        <v/>
      </c>
      <c r="W11" s="965">
        <f>V11</f>
        <v/>
      </c>
      <c r="X11" s="963" t="n"/>
      <c r="Y11" s="780" t="n"/>
    </row>
    <row r="12" customFormat="1" s="212">
      <c r="B12" s="189" t="inlineStr">
        <is>
          <t>New Employees in HK</t>
        </is>
      </c>
      <c r="C12" s="190" t="n"/>
      <c r="D12" s="190" t="n"/>
      <c r="E12" s="963" t="n"/>
      <c r="F12" s="963" t="n">
        <v>6</v>
      </c>
      <c r="G12" s="964">
        <f>F12</f>
        <v/>
      </c>
      <c r="H12" s="966" t="n">
        <v>12</v>
      </c>
      <c r="I12" s="963" t="n">
        <v>12</v>
      </c>
      <c r="J12" s="963" t="n">
        <v>14</v>
      </c>
      <c r="K12" s="963" t="n">
        <v>14</v>
      </c>
      <c r="L12" s="965">
        <f>K12</f>
        <v/>
      </c>
      <c r="M12" s="963" t="n">
        <v>14</v>
      </c>
      <c r="N12" s="963" t="n">
        <v>14</v>
      </c>
      <c r="O12" s="963" t="n">
        <v>14</v>
      </c>
      <c r="P12" s="965" t="n">
        <v>14</v>
      </c>
      <c r="Q12" s="965">
        <f>P12</f>
        <v/>
      </c>
      <c r="R12" s="966">
        <f>P12</f>
        <v/>
      </c>
      <c r="S12" s="963">
        <f>R12</f>
        <v/>
      </c>
      <c r="T12" s="963">
        <f>S12</f>
        <v/>
      </c>
      <c r="U12" s="965">
        <f>T12</f>
        <v/>
      </c>
      <c r="V12" s="965">
        <f>U12</f>
        <v/>
      </c>
      <c r="W12" s="965">
        <f>V12</f>
        <v/>
      </c>
      <c r="X12" s="963" t="n"/>
      <c r="Y12" s="781" t="n"/>
    </row>
    <row r="13" customFormat="1" s="303">
      <c r="B13" s="196" t="inlineStr">
        <is>
          <t>TOTAL DELTA HC</t>
        </is>
      </c>
      <c r="C13" s="197" t="n"/>
      <c r="D13" s="197" t="n"/>
      <c r="E13" s="967" t="n"/>
      <c r="F13" s="967">
        <f>F11+F12</f>
        <v/>
      </c>
      <c r="G13" s="967">
        <f>G11+G12</f>
        <v/>
      </c>
      <c r="H13" s="967">
        <f>H11+H12</f>
        <v/>
      </c>
      <c r="I13" s="967">
        <f>I11+I12</f>
        <v/>
      </c>
      <c r="J13" s="967">
        <f>J11+J12</f>
        <v/>
      </c>
      <c r="K13" s="967">
        <f>K11+K12</f>
        <v/>
      </c>
      <c r="L13" s="968">
        <f>L11+L12</f>
        <v/>
      </c>
      <c r="M13" s="967">
        <f>M11+M12</f>
        <v/>
      </c>
      <c r="N13" s="967">
        <f>N11+N12</f>
        <v/>
      </c>
      <c r="O13" s="967">
        <f>O11+O12</f>
        <v/>
      </c>
      <c r="P13" s="967">
        <f>P11+P12</f>
        <v/>
      </c>
      <c r="Q13" s="967">
        <f>Q11+Q12</f>
        <v/>
      </c>
      <c r="R13" s="967">
        <f>R11+R12</f>
        <v/>
      </c>
      <c r="S13" s="967">
        <f>S11+S12</f>
        <v/>
      </c>
      <c r="T13" s="967">
        <f>T11+T12</f>
        <v/>
      </c>
      <c r="U13" s="967">
        <f>U11+U12</f>
        <v/>
      </c>
      <c r="V13" s="967">
        <f>V11+V12</f>
        <v/>
      </c>
      <c r="W13" s="968">
        <f>V13</f>
        <v/>
      </c>
      <c r="X13" s="963" t="n"/>
    </row>
    <row r="14" customFormat="1" s="303">
      <c r="B14" s="465" t="n"/>
      <c r="C14" s="226" t="n"/>
      <c r="D14" s="226" t="n"/>
      <c r="E14" s="963" t="n"/>
      <c r="F14" s="963" t="n"/>
      <c r="G14" s="963" t="n"/>
      <c r="H14" s="963" t="n"/>
      <c r="I14" s="963" t="n"/>
      <c r="J14" s="963" t="n"/>
      <c r="K14" s="963" t="n"/>
      <c r="L14" s="965" t="n"/>
      <c r="M14" s="963" t="n"/>
      <c r="N14" s="963" t="n"/>
      <c r="O14" s="963" t="n"/>
      <c r="P14" s="963" t="n"/>
      <c r="Q14" s="963" t="n"/>
      <c r="R14" s="963" t="n"/>
      <c r="S14" s="963" t="n"/>
      <c r="T14" s="963" t="n"/>
      <c r="U14" s="963" t="n"/>
      <c r="V14" s="963" t="n"/>
      <c r="W14" s="965" t="n"/>
      <c r="X14" s="963" t="n"/>
    </row>
    <row r="15" hidden="1" outlineLevel="1" customFormat="1" s="303">
      <c r="B15" s="200" t="inlineStr">
        <is>
          <t>Cost of goods sold</t>
        </is>
      </c>
      <c r="C15" s="226" t="n"/>
      <c r="D15" s="226" t="n"/>
      <c r="E15" s="963" t="n"/>
      <c r="F15" s="963" t="n"/>
      <c r="G15" s="963" t="n"/>
      <c r="H15" s="963" t="n"/>
      <c r="I15" s="963" t="n"/>
      <c r="J15" s="963" t="n"/>
      <c r="K15" s="963" t="n"/>
      <c r="L15" s="965" t="n"/>
      <c r="M15" s="963" t="n"/>
      <c r="N15" s="963" t="n"/>
      <c r="O15" s="963" t="n"/>
      <c r="P15" s="963" t="n"/>
      <c r="Q15" s="963" t="n"/>
      <c r="R15" s="963" t="n"/>
      <c r="S15" s="963" t="n"/>
      <c r="T15" s="963" t="n"/>
      <c r="U15" s="963" t="n"/>
      <c r="V15" s="963" t="n"/>
      <c r="W15" s="965" t="n"/>
      <c r="X15" s="963" t="n"/>
    </row>
    <row r="16" hidden="1" outlineLevel="2" customFormat="1" s="202">
      <c r="B16" s="462" t="inlineStr">
        <is>
          <t>Inventory write off - DokiPal units that we will not sell</t>
        </is>
      </c>
      <c r="C16" s="969" t="inlineStr">
        <is>
          <t>Audrey</t>
        </is>
      </c>
      <c r="E16" s="970" t="n"/>
      <c r="F16" s="971">
        <f>100000</f>
        <v/>
      </c>
      <c r="G16" s="972">
        <f>SUM(E16:F16)</f>
        <v/>
      </c>
      <c r="H16" s="973" t="n"/>
      <c r="I16" s="974" t="n"/>
      <c r="J16" s="974" t="n"/>
      <c r="K16" s="974" t="n"/>
      <c r="L16" s="975" t="n"/>
      <c r="M16" s="976" t="n"/>
      <c r="N16" s="976" t="n"/>
      <c r="O16" s="976" t="n"/>
      <c r="P16" s="976" t="n"/>
      <c r="Q16" s="977" t="n"/>
      <c r="R16" s="976" t="n"/>
      <c r="S16" s="976" t="n"/>
      <c r="T16" s="976" t="n"/>
      <c r="U16" s="976" t="n"/>
      <c r="V16" s="977" t="n"/>
      <c r="W16" s="978">
        <f>G16+L16+Q16+V16</f>
        <v/>
      </c>
      <c r="X16" s="979" t="n"/>
      <c r="Y16" s="218" t="n"/>
    </row>
    <row r="17" hidden="1" outlineLevel="2" customFormat="1" s="202">
      <c r="B17" s="394" t="inlineStr">
        <is>
          <t>Inventory write off - Buy back of DokiPal units</t>
        </is>
      </c>
      <c r="C17" s="969" t="n"/>
      <c r="E17" s="970" t="n"/>
      <c r="F17" s="980">
        <f>'Recoverable units'!F20</f>
        <v/>
      </c>
      <c r="G17" s="972">
        <f>SUM(E17:F17)</f>
        <v/>
      </c>
      <c r="H17" s="973" t="n"/>
      <c r="I17" s="974" t="n"/>
      <c r="J17" s="974" t="n"/>
      <c r="K17" s="974" t="n"/>
      <c r="L17" s="975" t="n"/>
      <c r="M17" s="976" t="n"/>
      <c r="N17" s="976" t="n"/>
      <c r="O17" s="976" t="n"/>
      <c r="P17" s="976" t="n"/>
      <c r="Q17" s="977" t="n"/>
      <c r="R17" s="976" t="n"/>
      <c r="S17" s="976" t="n"/>
      <c r="T17" s="976" t="n"/>
      <c r="U17" s="976" t="n"/>
      <c r="V17" s="977" t="n"/>
      <c r="W17" s="978">
        <f>G17+L17+Q17+V17</f>
        <v/>
      </c>
      <c r="X17" s="979" t="n"/>
      <c r="Y17" s="216" t="n"/>
    </row>
    <row r="18" hidden="1" outlineLevel="1" customFormat="1" s="202">
      <c r="B18" s="203" t="n"/>
      <c r="C18" s="969" t="n"/>
      <c r="E18" s="981" t="n"/>
      <c r="F18" s="982" t="n"/>
      <c r="G18" s="983" t="n"/>
      <c r="H18" s="981" t="n"/>
      <c r="I18" s="962" t="n"/>
      <c r="J18" s="962" t="n"/>
      <c r="K18" s="962" t="n"/>
      <c r="L18" s="984" t="n"/>
      <c r="M18" s="969" t="n"/>
      <c r="N18" s="969" t="n"/>
      <c r="O18" s="969" t="n"/>
      <c r="P18" s="969" t="n"/>
      <c r="Q18" s="983" t="n"/>
      <c r="R18" s="969" t="n"/>
      <c r="S18" s="969" t="n"/>
      <c r="T18" s="969" t="n"/>
      <c r="U18" s="969" t="n"/>
      <c r="V18" s="983" t="n"/>
      <c r="W18" s="985" t="n"/>
      <c r="X18" s="962" t="n"/>
      <c r="Y18" s="218" t="n"/>
    </row>
    <row r="19" hidden="1" outlineLevel="1" collapsed="1" s="802">
      <c r="B19" s="200" t="inlineStr">
        <is>
          <t>Operating costs:</t>
        </is>
      </c>
      <c r="C19" s="225" t="n"/>
      <c r="D19" s="226" t="n"/>
      <c r="E19" s="986" t="n"/>
      <c r="F19" s="982" t="n"/>
      <c r="G19" s="983" t="n"/>
      <c r="H19" s="986" t="n"/>
      <c r="I19" s="969" t="n"/>
      <c r="J19" s="969" t="n"/>
      <c r="K19" s="969" t="n"/>
      <c r="L19" s="984" t="n"/>
      <c r="M19" s="969" t="n"/>
      <c r="N19" s="969" t="n"/>
      <c r="O19" s="969" t="n"/>
      <c r="P19" s="969" t="n"/>
      <c r="Q19" s="983" t="n"/>
      <c r="R19" s="969" t="n"/>
      <c r="S19" s="969" t="n"/>
      <c r="T19" s="969" t="n"/>
      <c r="U19" s="969" t="n"/>
      <c r="V19" s="983" t="n"/>
      <c r="W19" s="985" t="n"/>
      <c r="X19" s="962" t="n"/>
    </row>
    <row r="20" hidden="1" outlineLevel="2" ht="4.5" customHeight="1" s="802">
      <c r="B20" s="200" t="n"/>
      <c r="C20" s="225" t="n"/>
      <c r="D20" s="226" t="n"/>
      <c r="E20" s="986" t="n"/>
      <c r="F20" s="982" t="n"/>
      <c r="G20" s="983" t="n"/>
      <c r="H20" s="986" t="n"/>
      <c r="I20" s="969" t="n"/>
      <c r="J20" s="969" t="n"/>
      <c r="K20" s="969" t="n"/>
      <c r="L20" s="984" t="n"/>
      <c r="M20" s="969" t="n"/>
      <c r="N20" s="969" t="n"/>
      <c r="O20" s="969" t="n"/>
      <c r="P20" s="969" t="n"/>
      <c r="Q20" s="983" t="n"/>
      <c r="R20" s="969" t="n"/>
      <c r="S20" s="969" t="n"/>
      <c r="T20" s="969" t="n"/>
      <c r="U20" s="969" t="n"/>
      <c r="V20" s="983" t="n"/>
      <c r="W20" s="985" t="n"/>
      <c r="X20" s="962" t="n"/>
    </row>
    <row r="21" hidden="1" outlineLevel="3" s="802">
      <c r="B21" s="362" t="inlineStr">
        <is>
          <t>Gross wages - yoy inc</t>
        </is>
      </c>
      <c r="C21" s="225" t="n"/>
      <c r="D21" s="226" t="n"/>
      <c r="E21" s="986" t="n"/>
      <c r="F21" s="987" t="n"/>
      <c r="G21" s="988" t="n"/>
      <c r="H21" s="231" t="n">
        <v>0</v>
      </c>
      <c r="I21" s="989" t="n"/>
      <c r="J21" s="989" t="n"/>
      <c r="K21" s="989" t="n"/>
      <c r="L21" s="990" t="n"/>
      <c r="M21" s="233" t="n">
        <v>0.05</v>
      </c>
      <c r="N21" s="989" t="n"/>
      <c r="O21" s="989" t="n"/>
      <c r="P21" s="989" t="n"/>
      <c r="Q21" s="988" t="n"/>
      <c r="R21" s="233">
        <f>M21</f>
        <v/>
      </c>
      <c r="S21" s="989" t="n"/>
      <c r="T21" s="989" t="n"/>
      <c r="U21" s="989" t="n"/>
      <c r="V21" s="988" t="n"/>
      <c r="W21" s="991" t="n"/>
      <c r="X21" s="979" t="n"/>
      <c r="Y21" s="780" t="n"/>
    </row>
    <row r="22" hidden="1" outlineLevel="2" collapsed="1" customFormat="1" s="202">
      <c r="B22" s="234" t="inlineStr">
        <is>
          <t xml:space="preserve">Gross Wages </t>
        </is>
      </c>
      <c r="C22" s="969" t="inlineStr">
        <is>
          <t>HR</t>
        </is>
      </c>
      <c r="D22" s="992" t="n"/>
      <c r="E22" s="981" t="n"/>
      <c r="F22" s="993">
        <f>[1]Sheet1!$G$30/4</f>
        <v/>
      </c>
      <c r="G22" s="988">
        <f>SUM(E22:F22)</f>
        <v/>
      </c>
      <c r="H22" s="994">
        <f>F22*(1+H21)</f>
        <v/>
      </c>
      <c r="I22" s="989">
        <f>H22</f>
        <v/>
      </c>
      <c r="J22" s="989">
        <f>I22</f>
        <v/>
      </c>
      <c r="K22" s="989">
        <f>J22</f>
        <v/>
      </c>
      <c r="L22" s="990">
        <f>SUM(H22:K22)</f>
        <v/>
      </c>
      <c r="M22" s="989">
        <f>H22*(1+M21)</f>
        <v/>
      </c>
      <c r="N22" s="995">
        <f>M22</f>
        <v/>
      </c>
      <c r="O22" s="995">
        <f>N22</f>
        <v/>
      </c>
      <c r="P22" s="995">
        <f>O22</f>
        <v/>
      </c>
      <c r="Q22" s="988">
        <f>SUM(M22:P22)</f>
        <v/>
      </c>
      <c r="R22" s="989">
        <f>M22*(1+R21)</f>
        <v/>
      </c>
      <c r="S22" s="989">
        <f>R22</f>
        <v/>
      </c>
      <c r="T22" s="989">
        <f>S22</f>
        <v/>
      </c>
      <c r="U22" s="989">
        <f>T22</f>
        <v/>
      </c>
      <c r="V22" s="988">
        <f>SUM(R22:U22)</f>
        <v/>
      </c>
      <c r="W22" s="991">
        <f>G22+L22+Q22+V22</f>
        <v/>
      </c>
      <c r="X22" s="979" t="n"/>
      <c r="Y22" s="780" t="n"/>
    </row>
    <row r="23" hidden="1" outlineLevel="3" customFormat="1" s="202">
      <c r="B23" s="362" t="inlineStr">
        <is>
          <t>Bonus - yoy inc</t>
        </is>
      </c>
      <c r="C23" s="969" t="n"/>
      <c r="D23" s="992" t="n"/>
      <c r="E23" s="981" t="n"/>
      <c r="F23" s="240" t="n"/>
      <c r="G23" s="241" t="n"/>
      <c r="H23" s="231" t="n">
        <v>0</v>
      </c>
      <c r="I23" s="233" t="n"/>
      <c r="J23" s="233" t="n"/>
      <c r="K23" s="233" t="n"/>
      <c r="L23" s="439" t="n"/>
      <c r="M23" s="233" t="n">
        <v>0.05</v>
      </c>
      <c r="N23" s="233" t="n"/>
      <c r="O23" s="233" t="n"/>
      <c r="P23" s="233" t="n"/>
      <c r="Q23" s="241" t="n"/>
      <c r="R23" s="233">
        <f>M23</f>
        <v/>
      </c>
      <c r="S23" s="233" t="n"/>
      <c r="T23" s="233" t="n"/>
      <c r="U23" s="233" t="n"/>
      <c r="V23" s="241" t="n"/>
      <c r="W23" s="356">
        <f>G23+L23+Q23+V23</f>
        <v/>
      </c>
      <c r="X23" s="233" t="n"/>
      <c r="Y23" s="780" t="n"/>
      <c r="Z23" s="780" t="n"/>
      <c r="AA23" s="780" t="n"/>
      <c r="AB23" s="780" t="n"/>
      <c r="AC23" s="780" t="n"/>
      <c r="AD23" s="780" t="n"/>
      <c r="AE23" s="780" t="n"/>
      <c r="AF23" s="780" t="n"/>
      <c r="AG23" s="780" t="n"/>
      <c r="AH23" s="780" t="n"/>
    </row>
    <row r="24" hidden="1" outlineLevel="2" collapsed="1" customFormat="1" s="202">
      <c r="B24" s="234" t="inlineStr">
        <is>
          <t>Bonus</t>
        </is>
      </c>
      <c r="C24" s="969" t="inlineStr">
        <is>
          <t>HR</t>
        </is>
      </c>
      <c r="D24" s="992" t="n"/>
      <c r="E24" s="981" t="n"/>
      <c r="F24" s="993">
        <f>[1]Sheet1!$K$32/4</f>
        <v/>
      </c>
      <c r="G24" s="988">
        <f>SUM(E24:F24)</f>
        <v/>
      </c>
      <c r="H24" s="994">
        <f>F24*(1+H23)</f>
        <v/>
      </c>
      <c r="I24" s="989">
        <f>H24</f>
        <v/>
      </c>
      <c r="J24" s="989">
        <f>I24</f>
        <v/>
      </c>
      <c r="K24" s="989">
        <f>J24</f>
        <v/>
      </c>
      <c r="L24" s="990">
        <f>SUM(H24:K24)</f>
        <v/>
      </c>
      <c r="M24" s="989">
        <f>H24*(1+M23)</f>
        <v/>
      </c>
      <c r="N24" s="995">
        <f>M24</f>
        <v/>
      </c>
      <c r="O24" s="995">
        <f>N24</f>
        <v/>
      </c>
      <c r="P24" s="995">
        <f>O24</f>
        <v/>
      </c>
      <c r="Q24" s="988">
        <f>SUM(M24:P24)</f>
        <v/>
      </c>
      <c r="R24" s="989">
        <f>M24*(1+R23)</f>
        <v/>
      </c>
      <c r="S24" s="989">
        <f>R24</f>
        <v/>
      </c>
      <c r="T24" s="989">
        <f>S24</f>
        <v/>
      </c>
      <c r="U24" s="989">
        <f>T24</f>
        <v/>
      </c>
      <c r="V24" s="988">
        <f>SUM(R24:U24)</f>
        <v/>
      </c>
      <c r="W24" s="991">
        <f>G24+L24+Q24+V24</f>
        <v/>
      </c>
      <c r="X24" s="979" t="n"/>
      <c r="Y24" s="780" t="n"/>
    </row>
    <row r="25" hidden="1" outlineLevel="3" customFormat="1" s="202">
      <c r="B25" s="362" t="inlineStr">
        <is>
          <t>Fringe assumption</t>
        </is>
      </c>
      <c r="C25" s="969" t="n"/>
      <c r="D25" s="992" t="n"/>
      <c r="E25" s="981" t="n"/>
      <c r="F25" s="240" t="n">
        <v>0.15</v>
      </c>
      <c r="G25" s="241">
        <f>F25</f>
        <v/>
      </c>
      <c r="H25" s="231">
        <f>G25</f>
        <v/>
      </c>
      <c r="I25" s="233">
        <f>H25</f>
        <v/>
      </c>
      <c r="J25" s="233">
        <f>I25</f>
        <v/>
      </c>
      <c r="K25" s="233">
        <f>J25</f>
        <v/>
      </c>
      <c r="L25" s="439">
        <f>K25</f>
        <v/>
      </c>
      <c r="M25" s="233">
        <f>L25</f>
        <v/>
      </c>
      <c r="N25" s="233">
        <f>M25</f>
        <v/>
      </c>
      <c r="O25" s="233">
        <f>N25</f>
        <v/>
      </c>
      <c r="P25" s="233">
        <f>O25</f>
        <v/>
      </c>
      <c r="Q25" s="241">
        <f>P25</f>
        <v/>
      </c>
      <c r="R25" s="233">
        <f>Q25</f>
        <v/>
      </c>
      <c r="S25" s="233">
        <f>R25</f>
        <v/>
      </c>
      <c r="T25" s="233">
        <f>S25</f>
        <v/>
      </c>
      <c r="U25" s="233">
        <f>T25</f>
        <v/>
      </c>
      <c r="V25" s="241">
        <f>U25</f>
        <v/>
      </c>
      <c r="W25" s="356">
        <f>G25+L25+Q25+V25</f>
        <v/>
      </c>
      <c r="X25" s="233" t="n"/>
      <c r="Y25" s="780" t="n"/>
      <c r="Z25" s="780" t="n"/>
      <c r="AA25" s="780" t="n"/>
      <c r="AB25" s="780" t="n"/>
      <c r="AC25" s="780" t="n"/>
      <c r="AD25" s="780" t="n"/>
      <c r="AE25" s="780" t="n"/>
      <c r="AF25" s="780" t="n"/>
      <c r="AG25" s="780" t="n"/>
      <c r="AH25" s="780" t="n"/>
    </row>
    <row r="26" hidden="1" outlineLevel="2" collapsed="1" customFormat="1" s="202">
      <c r="B26" s="234" t="inlineStr">
        <is>
          <t>Fringe</t>
        </is>
      </c>
      <c r="C26" s="969" t="inlineStr">
        <is>
          <t>HR</t>
        </is>
      </c>
      <c r="D26" s="992" t="n"/>
      <c r="E26" s="962" t="n"/>
      <c r="F26" s="989">
        <f>SUM(F22:F24)*$F$25</f>
        <v/>
      </c>
      <c r="G26" s="988">
        <f>SUM(E26:F26)</f>
        <v/>
      </c>
      <c r="H26" s="994">
        <f>SUM(H22:H24)*$F$25</f>
        <v/>
      </c>
      <c r="I26" s="989">
        <f>SUM(I22:I24)*$F$25</f>
        <v/>
      </c>
      <c r="J26" s="989">
        <f>SUM(J22:J24)*$F$25</f>
        <v/>
      </c>
      <c r="K26" s="989">
        <f>SUM(K22:K24)*$F$25</f>
        <v/>
      </c>
      <c r="L26" s="990">
        <f>SUM(H26:K26)</f>
        <v/>
      </c>
      <c r="M26" s="989">
        <f>SUM(M22:M24)*$F$25</f>
        <v/>
      </c>
      <c r="N26" s="995">
        <f>M26</f>
        <v/>
      </c>
      <c r="O26" s="995">
        <f>N26</f>
        <v/>
      </c>
      <c r="P26" s="995">
        <f>O26</f>
        <v/>
      </c>
      <c r="Q26" s="988">
        <f>SUM(M26:P26)</f>
        <v/>
      </c>
      <c r="R26" s="989">
        <f>SUM(R22:R24)*$F$25</f>
        <v/>
      </c>
      <c r="S26" s="989">
        <f>SUM(S22:S24)*$F$25</f>
        <v/>
      </c>
      <c r="T26" s="989">
        <f>SUM(T22:T24)*$F$25</f>
        <v/>
      </c>
      <c r="U26" s="989">
        <f>SUM(U22:U24)*$F$25</f>
        <v/>
      </c>
      <c r="V26" s="988">
        <f>SUM(R26:U26)</f>
        <v/>
      </c>
      <c r="W26" s="991">
        <f>G26+L26+Q26+V26</f>
        <v/>
      </c>
      <c r="X26" s="979" t="n"/>
    </row>
    <row r="27" hidden="1" outlineLevel="2" customFormat="1" s="202">
      <c r="B27" s="234" t="inlineStr">
        <is>
          <t>Retention</t>
        </is>
      </c>
      <c r="C27" s="969" t="inlineStr">
        <is>
          <t>HR</t>
        </is>
      </c>
      <c r="D27" s="992" t="n"/>
      <c r="E27" s="981" t="n"/>
      <c r="F27" s="993">
        <f>((85000/18)*3)+(85000/36)*3</f>
        <v/>
      </c>
      <c r="G27" s="996">
        <f>SUM(E27:F27)</f>
        <v/>
      </c>
      <c r="H27" s="994">
        <f>F27</f>
        <v/>
      </c>
      <c r="I27" s="989">
        <f>H27</f>
        <v/>
      </c>
      <c r="J27" s="989">
        <f>I27</f>
        <v/>
      </c>
      <c r="K27" s="989">
        <f>J27</f>
        <v/>
      </c>
      <c r="L27" s="990">
        <f>SUM(H27:K27)</f>
        <v/>
      </c>
      <c r="M27" s="989">
        <f>K27</f>
        <v/>
      </c>
      <c r="N27" s="993">
        <f>(85000/36)*3</f>
        <v/>
      </c>
      <c r="O27" s="989">
        <f>N27</f>
        <v/>
      </c>
      <c r="P27" s="989">
        <f>O27</f>
        <v/>
      </c>
      <c r="Q27" s="988">
        <f>SUM(M27:P27)</f>
        <v/>
      </c>
      <c r="R27" s="989">
        <f>N27</f>
        <v/>
      </c>
      <c r="S27" s="989">
        <f>R27</f>
        <v/>
      </c>
      <c r="T27" s="989">
        <f>S27</f>
        <v/>
      </c>
      <c r="U27" s="989" t="n"/>
      <c r="V27" s="988">
        <f>SUM(R27:U27)</f>
        <v/>
      </c>
      <c r="W27" s="991">
        <f>G27+L27+Q27+V27</f>
        <v/>
      </c>
      <c r="X27" s="979" t="n"/>
      <c r="Y27" s="780" t="n"/>
    </row>
    <row r="28" hidden="1" outlineLevel="2" ht="14.45" customFormat="1" customHeight="1" s="202">
      <c r="B28" s="234" t="inlineStr">
        <is>
          <t>Severance</t>
        </is>
      </c>
      <c r="C28" s="969" t="inlineStr">
        <is>
          <t>HR</t>
        </is>
      </c>
      <c r="D28" s="992" t="n"/>
      <c r="E28" s="970" t="n"/>
      <c r="F28" s="997" t="n">
        <v>0</v>
      </c>
      <c r="G28" s="998">
        <f>SUM(E28:F28)</f>
        <v/>
      </c>
      <c r="H28" s="999" t="n">
        <v>0</v>
      </c>
      <c r="I28" s="1000" t="n">
        <v>0</v>
      </c>
      <c r="J28" s="1000" t="n">
        <v>0</v>
      </c>
      <c r="K28" s="1000" t="n">
        <v>0</v>
      </c>
      <c r="L28" s="1001">
        <f>SUM(H28:K28)</f>
        <v/>
      </c>
      <c r="M28" s="1000" t="n">
        <v>0</v>
      </c>
      <c r="N28" s="1000">
        <f>M28</f>
        <v/>
      </c>
      <c r="O28" s="1000">
        <f>N28</f>
        <v/>
      </c>
      <c r="P28" s="1000">
        <f>O28</f>
        <v/>
      </c>
      <c r="Q28" s="972">
        <f>SUM(M28:P28)</f>
        <v/>
      </c>
      <c r="R28" s="1000" t="n">
        <v>0</v>
      </c>
      <c r="S28" s="1000" t="n">
        <v>0</v>
      </c>
      <c r="T28" s="1000" t="n">
        <v>0</v>
      </c>
      <c r="U28" s="1000" t="n">
        <v>0</v>
      </c>
      <c r="V28" s="972">
        <f>SUM(R28:U28)</f>
        <v/>
      </c>
      <c r="W28" s="978">
        <f>G28+L28+Q28+V28</f>
        <v/>
      </c>
      <c r="X28" s="979" t="n"/>
      <c r="Y28" s="246" t="n"/>
      <c r="Z28" s="216" t="n"/>
      <c r="AA28" s="780" t="n"/>
      <c r="AB28" s="780" t="n"/>
      <c r="AC28" s="780" t="n"/>
      <c r="AD28" s="780" t="n"/>
      <c r="AE28" s="780" t="n"/>
      <c r="AF28" s="780" t="n"/>
      <c r="AG28" s="780" t="n"/>
      <c r="AH28" s="780" t="n"/>
    </row>
    <row r="29" hidden="1" outlineLevel="1" collapsed="1" ht="14.45" customFormat="1" customHeight="1" s="202">
      <c r="B29" s="203" t="inlineStr">
        <is>
          <t>HC Related costs</t>
        </is>
      </c>
      <c r="C29" s="969" t="inlineStr">
        <is>
          <t>HR</t>
        </is>
      </c>
      <c r="D29" s="992" t="n"/>
      <c r="E29" s="981" t="n"/>
      <c r="F29" s="1002">
        <f>SUM(F22:F28)</f>
        <v/>
      </c>
      <c r="G29" s="988">
        <f>SUM(E29:F29)</f>
        <v/>
      </c>
      <c r="H29" s="986">
        <f>SUM(H22:H28)</f>
        <v/>
      </c>
      <c r="I29" s="969">
        <f>SUM(I22:I28)</f>
        <v/>
      </c>
      <c r="J29" s="969">
        <f>SUM(J22:J28)</f>
        <v/>
      </c>
      <c r="K29" s="969">
        <f>SUM(K22:K28)</f>
        <v/>
      </c>
      <c r="L29" s="984">
        <f>SUM(L22:L28)</f>
        <v/>
      </c>
      <c r="M29" s="969">
        <f>SUM(M22:M28)</f>
        <v/>
      </c>
      <c r="N29" s="969">
        <f>SUM(N22:N28)</f>
        <v/>
      </c>
      <c r="O29" s="969">
        <f>SUM(O22:O28)</f>
        <v/>
      </c>
      <c r="P29" s="969">
        <f>SUM(P22:P28)</f>
        <v/>
      </c>
      <c r="Q29" s="983">
        <f>SUM(Q22:Q28)</f>
        <v/>
      </c>
      <c r="R29" s="969">
        <f>SUM(R22:R28)</f>
        <v/>
      </c>
      <c r="S29" s="969">
        <f>SUM(S22:S28)</f>
        <v/>
      </c>
      <c r="T29" s="969">
        <f>SUM(T22:T28)</f>
        <v/>
      </c>
      <c r="U29" s="969">
        <f>SUM(U22:U28)</f>
        <v/>
      </c>
      <c r="V29" s="983">
        <f>SUM(V22:V28)</f>
        <v/>
      </c>
      <c r="W29" s="985">
        <f>G29+L29+Q29+V29</f>
        <v/>
      </c>
      <c r="X29" s="962" t="n"/>
      <c r="Y29" s="216" t="n"/>
      <c r="AI29" s="782" t="inlineStr">
        <is>
          <t>HC Costs Copy of Delta Comp v2- 9.27.19 - Sent to Casper.xlsx</t>
        </is>
      </c>
    </row>
    <row r="30" hidden="1" outlineLevel="2" customFormat="1" s="202">
      <c r="B30" s="228" t="inlineStr">
        <is>
          <t>T&amp;E - per person p.a</t>
        </is>
      </c>
      <c r="C30" s="969" t="n"/>
      <c r="D30" s="992" t="n"/>
      <c r="E30" s="981" t="n"/>
      <c r="F30" s="1003">
        <f>5000/4</f>
        <v/>
      </c>
      <c r="G30" s="1004">
        <f>SUM(E30:F30)</f>
        <v/>
      </c>
      <c r="H30" s="1005">
        <f>F30</f>
        <v/>
      </c>
      <c r="I30" s="1006">
        <f>H30</f>
        <v/>
      </c>
      <c r="J30" s="1006">
        <f>I30</f>
        <v/>
      </c>
      <c r="K30" s="1006">
        <f>J30</f>
        <v/>
      </c>
      <c r="L30" s="984">
        <f>SUM(H30:K30)</f>
        <v/>
      </c>
      <c r="M30" s="1006">
        <f>H30</f>
        <v/>
      </c>
      <c r="N30" s="1006">
        <f>I30</f>
        <v/>
      </c>
      <c r="O30" s="1006">
        <f>J30</f>
        <v/>
      </c>
      <c r="P30" s="1006">
        <f>K30</f>
        <v/>
      </c>
      <c r="Q30" s="983">
        <f>SUM(M30:P30)</f>
        <v/>
      </c>
      <c r="R30" s="1006">
        <f>M30</f>
        <v/>
      </c>
      <c r="S30" s="1006">
        <f>N30</f>
        <v/>
      </c>
      <c r="T30" s="1006">
        <f>O30</f>
        <v/>
      </c>
      <c r="U30" s="1006">
        <f>P30</f>
        <v/>
      </c>
      <c r="V30" s="983">
        <f>SUM(R30:U30)</f>
        <v/>
      </c>
      <c r="W30" s="985">
        <f>G30+L30+Q30+V30</f>
        <v/>
      </c>
      <c r="X30" s="962" t="n"/>
      <c r="Y30" s="780" t="n"/>
      <c r="Z30" s="780" t="n"/>
      <c r="AA30" s="780" t="n"/>
      <c r="AB30" s="780" t="n"/>
      <c r="AC30" s="780" t="n"/>
      <c r="AD30" s="780" t="n"/>
      <c r="AE30" s="780" t="n"/>
      <c r="AF30" s="780" t="n"/>
      <c r="AG30" s="780" t="n"/>
      <c r="AH30" s="780" t="n"/>
    </row>
    <row r="31" hidden="1" outlineLevel="1" collapsed="1" customFormat="1" s="202">
      <c r="B31" s="203" t="inlineStr">
        <is>
          <t>T&amp;E</t>
        </is>
      </c>
      <c r="C31" s="969" t="inlineStr">
        <is>
          <t>FP&amp;A</t>
        </is>
      </c>
      <c r="E31" s="981" t="n"/>
      <c r="F31" s="1002">
        <f>F11*$F30</f>
        <v/>
      </c>
      <c r="G31" s="983">
        <f>SUM(E31:F31)</f>
        <v/>
      </c>
      <c r="H31" s="986">
        <f>H11*$F30</f>
        <v/>
      </c>
      <c r="I31" s="969">
        <f>I11*$F30</f>
        <v/>
      </c>
      <c r="J31" s="969">
        <f>J11*$F30</f>
        <v/>
      </c>
      <c r="K31" s="969">
        <f>K11*$F30</f>
        <v/>
      </c>
      <c r="L31" s="984">
        <f>SUM(H31:K31)</f>
        <v/>
      </c>
      <c r="M31" s="969">
        <f>M11*$F30</f>
        <v/>
      </c>
      <c r="N31" s="969">
        <f>N11*$F30</f>
        <v/>
      </c>
      <c r="O31" s="969">
        <f>O11*$F30</f>
        <v/>
      </c>
      <c r="P31" s="969">
        <f>P11*$F30</f>
        <v/>
      </c>
      <c r="Q31" s="983">
        <f>SUM(M31:P31)</f>
        <v/>
      </c>
      <c r="R31" s="969">
        <f>R11*$F30</f>
        <v/>
      </c>
      <c r="S31" s="969">
        <f>S11*$F30</f>
        <v/>
      </c>
      <c r="T31" s="969">
        <f>T11*$F30</f>
        <v/>
      </c>
      <c r="U31" s="969">
        <f>U11*$F30</f>
        <v/>
      </c>
      <c r="V31" s="983">
        <f>SUM(R31:U31)</f>
        <v/>
      </c>
      <c r="W31" s="985">
        <f>G31+L31+Q31+V31</f>
        <v/>
      </c>
      <c r="X31" s="962" t="n"/>
      <c r="Z31" s="780" t="n"/>
      <c r="AA31" s="780" t="n"/>
      <c r="AB31" s="780" t="n"/>
      <c r="AC31" s="780" t="n"/>
      <c r="AD31" s="780" t="n"/>
      <c r="AE31" s="780" t="n"/>
      <c r="AF31" s="780" t="n"/>
      <c r="AG31" s="780" t="n"/>
      <c r="AH31" s="780" t="n"/>
    </row>
    <row r="32" hidden="1" outlineLevel="1" ht="14.45" customFormat="1" customHeight="1" s="202">
      <c r="B32" s="203" t="inlineStr">
        <is>
          <t>Facility and Office Exp</t>
        </is>
      </c>
      <c r="C32" s="969" t="inlineStr">
        <is>
          <t>Peter</t>
        </is>
      </c>
      <c r="E32" s="981" t="n"/>
      <c r="F32" s="1002">
        <f>'8) Facilities'!I41</f>
        <v/>
      </c>
      <c r="G32" s="983">
        <f>SUM(E32:F32)</f>
        <v/>
      </c>
      <c r="H32" s="986">
        <f>'8) Facilities'!J41/H13*H11</f>
        <v/>
      </c>
      <c r="I32" s="969">
        <f>'8) Facilities'!K41/I13*I11</f>
        <v/>
      </c>
      <c r="J32" s="969">
        <f>'8) Facilities'!L41/J13*J11</f>
        <v/>
      </c>
      <c r="K32" s="969">
        <f>'8) Facilities'!M41/K13*K11</f>
        <v/>
      </c>
      <c r="L32" s="984">
        <f>SUM(H32:K32)</f>
        <v/>
      </c>
      <c r="M32" s="1007">
        <f>K32</f>
        <v/>
      </c>
      <c r="N32" s="1007">
        <f>M32</f>
        <v/>
      </c>
      <c r="O32" s="1007">
        <f>M32</f>
        <v/>
      </c>
      <c r="P32" s="1007">
        <f>N32</f>
        <v/>
      </c>
      <c r="Q32" s="983">
        <f>SUM(M32:P32)</f>
        <v/>
      </c>
      <c r="R32" s="1008">
        <f>P32</f>
        <v/>
      </c>
      <c r="S32" s="1007">
        <f>R32</f>
        <v/>
      </c>
      <c r="T32" s="1007">
        <f>R32</f>
        <v/>
      </c>
      <c r="U32" s="1007">
        <f>S32</f>
        <v/>
      </c>
      <c r="V32" s="983">
        <f>SUM(R32:U32)</f>
        <v/>
      </c>
      <c r="W32" s="985">
        <f>G32+L32+Q32+V32</f>
        <v/>
      </c>
      <c r="X32" s="962" t="n"/>
      <c r="Y32" s="216" t="n"/>
      <c r="AB32" s="216" t="n"/>
      <c r="AC32" s="216" t="n"/>
      <c r="AD32" s="216" t="n"/>
      <c r="AE32" s="216" t="n"/>
      <c r="AF32" s="216" t="n"/>
      <c r="AG32" s="216" t="n"/>
      <c r="AH32" s="216" t="n"/>
    </row>
    <row r="33" hidden="1" outlineLevel="1" customFormat="1" s="202">
      <c r="B33" s="336" t="inlineStr">
        <is>
          <t>IT Costs - security Blackduck</t>
        </is>
      </c>
      <c r="C33" s="969" t="inlineStr">
        <is>
          <t>Jonathan W</t>
        </is>
      </c>
      <c r="E33" s="970">
        <f>'13) IT- Security'!$H$41</f>
        <v/>
      </c>
      <c r="F33" s="1009" t="n"/>
      <c r="G33" s="977">
        <f>SUM(E33:F33)</f>
        <v/>
      </c>
      <c r="H33" s="970" t="n"/>
      <c r="I33" s="976" t="n"/>
      <c r="J33" s="976" t="n"/>
      <c r="K33" s="976" t="n"/>
      <c r="L33" s="975">
        <f>SUM(H33:K33)</f>
        <v/>
      </c>
      <c r="M33" s="976">
        <f>J33</f>
        <v/>
      </c>
      <c r="N33" s="976">
        <f>M33</f>
        <v/>
      </c>
      <c r="O33" s="976">
        <f>N33</f>
        <v/>
      </c>
      <c r="P33" s="976">
        <f>M33</f>
        <v/>
      </c>
      <c r="Q33" s="977">
        <f>SUM(M33:P33)</f>
        <v/>
      </c>
      <c r="R33" s="970">
        <f>M33</f>
        <v/>
      </c>
      <c r="S33" s="976">
        <f>R33</f>
        <v/>
      </c>
      <c r="T33" s="976">
        <f>S33</f>
        <v/>
      </c>
      <c r="U33" s="976">
        <f>S33</f>
        <v/>
      </c>
      <c r="V33" s="977">
        <f>SUM(R33:U33)</f>
        <v/>
      </c>
      <c r="W33" s="1010">
        <f>G33+L33+Q33+V33</f>
        <v/>
      </c>
      <c r="X33" s="962" t="n"/>
      <c r="Y33" s="216" t="n"/>
      <c r="AA33" s="780" t="n"/>
    </row>
    <row r="34" hidden="1" outlineLevel="1" customFormat="1" s="202">
      <c r="B34" s="450" t="inlineStr">
        <is>
          <t>IT Costs - laptops etc</t>
        </is>
      </c>
      <c r="C34" s="969" t="inlineStr">
        <is>
          <t>Bill Bragg</t>
        </is>
      </c>
      <c r="E34" s="970" t="n"/>
      <c r="F34" s="1009">
        <f>'11) IT-Infrastructure'!$I$41-F35</f>
        <v/>
      </c>
      <c r="G34" s="977">
        <f>SUM(E34:F34)</f>
        <v/>
      </c>
      <c r="H34" s="970" t="n"/>
      <c r="I34" s="976" t="n"/>
      <c r="J34" s="976" t="n"/>
      <c r="K34" s="976" t="n"/>
      <c r="L34" s="975">
        <f>SUM(H34:K34)</f>
        <v/>
      </c>
      <c r="M34" s="976">
        <f>J34</f>
        <v/>
      </c>
      <c r="N34" s="976">
        <f>M34</f>
        <v/>
      </c>
      <c r="O34" s="976">
        <f>N34</f>
        <v/>
      </c>
      <c r="P34" s="976">
        <f>M34</f>
        <v/>
      </c>
      <c r="Q34" s="977">
        <f>SUM(M34:P34)</f>
        <v/>
      </c>
      <c r="R34" s="970">
        <f>M34</f>
        <v/>
      </c>
      <c r="S34" s="976">
        <f>R34</f>
        <v/>
      </c>
      <c r="T34" s="976">
        <f>S34</f>
        <v/>
      </c>
      <c r="U34" s="976">
        <f>S34</f>
        <v/>
      </c>
      <c r="V34" s="977">
        <f>SUM(R34:U34)</f>
        <v/>
      </c>
      <c r="W34" s="1010">
        <f>G34+L34+Q34+V34</f>
        <v/>
      </c>
      <c r="X34" s="962" t="n"/>
      <c r="Y34" s="216" t="n"/>
      <c r="AA34" s="780" t="n"/>
    </row>
    <row r="35" hidden="1" outlineLevel="1" customFormat="1" s="202">
      <c r="B35" s="450" t="inlineStr">
        <is>
          <t>IT Costs - wi fi&amp;special software</t>
        </is>
      </c>
      <c r="C35" s="969" t="inlineStr">
        <is>
          <t>Bill Bragg</t>
        </is>
      </c>
      <c r="E35" s="986" t="n"/>
      <c r="F35" s="1002">
        <f>'11) IT-Infrastructure'!$I$31+'11) IT-Infrastructure'!I34</f>
        <v/>
      </c>
      <c r="G35" s="983">
        <f>SUM(E35:F35)</f>
        <v/>
      </c>
      <c r="H35" s="1002">
        <f>'11) IT-Infrastructure'!$I$31+'11) IT-Infrastructure'!K34</f>
        <v/>
      </c>
      <c r="I35" s="1002">
        <f>'11) IT-Infrastructure'!$I$31+'11) IT-Infrastructure'!L34</f>
        <v/>
      </c>
      <c r="J35" s="1002">
        <f>'11) IT-Infrastructure'!$I$31+'11) IT-Infrastructure'!M34</f>
        <v/>
      </c>
      <c r="K35" s="1002">
        <f>'11) IT-Infrastructure'!$I$31+'11) IT-Infrastructure'!N34</f>
        <v/>
      </c>
      <c r="L35" s="984">
        <f>SUM(H35:K35)</f>
        <v/>
      </c>
      <c r="M35" s="1007">
        <f>K35</f>
        <v/>
      </c>
      <c r="N35" s="1007">
        <f>M35</f>
        <v/>
      </c>
      <c r="O35" s="1007">
        <f>N35</f>
        <v/>
      </c>
      <c r="P35" s="1007">
        <f>M35</f>
        <v/>
      </c>
      <c r="Q35" s="983">
        <f>SUM(M35:P35)</f>
        <v/>
      </c>
      <c r="R35" s="1008">
        <f>M35</f>
        <v/>
      </c>
      <c r="S35" s="1007">
        <f>R35</f>
        <v/>
      </c>
      <c r="T35" s="1007">
        <f>S35</f>
        <v/>
      </c>
      <c r="U35" s="1007">
        <f>S35</f>
        <v/>
      </c>
      <c r="V35" s="983">
        <f>SUM(R35:U35)</f>
        <v/>
      </c>
      <c r="W35" s="985">
        <f>G35+L35+Q35+V35</f>
        <v/>
      </c>
      <c r="X35" s="962" t="n"/>
      <c r="Y35" s="216" t="n"/>
    </row>
    <row r="36" hidden="1" outlineLevel="1" customFormat="1" s="202">
      <c r="B36" s="203" t="inlineStr">
        <is>
          <t>Valuation reviews - BVA+External cost</t>
        </is>
      </c>
      <c r="C36" s="969" t="inlineStr">
        <is>
          <t>Heather</t>
        </is>
      </c>
      <c r="E36" s="973" t="n"/>
      <c r="F36" s="1009">
        <f>15000+30000</f>
        <v/>
      </c>
      <c r="G36" s="977">
        <f>SUM(E36:F36)</f>
        <v/>
      </c>
      <c r="H36" s="970" t="n"/>
      <c r="I36" s="976" t="n"/>
      <c r="J36" s="976" t="n"/>
      <c r="K36" s="976" t="n"/>
      <c r="L36" s="975">
        <f>SUM(H36:K36)</f>
        <v/>
      </c>
      <c r="M36" s="976" t="n"/>
      <c r="N36" s="976" t="n"/>
      <c r="O36" s="976" t="n"/>
      <c r="P36" s="976" t="n"/>
      <c r="Q36" s="977">
        <f>SUM(M36:P36)</f>
        <v/>
      </c>
      <c r="R36" s="976" t="n"/>
      <c r="S36" s="976" t="n"/>
      <c r="T36" s="976" t="n"/>
      <c r="U36" s="976" t="n"/>
      <c r="V36" s="977">
        <f>SUM(R36:U36)</f>
        <v/>
      </c>
      <c r="W36" s="1010">
        <f>G36+L36+Q36+V36</f>
        <v/>
      </c>
      <c r="X36" s="962" t="n"/>
      <c r="Y36" s="218" t="n"/>
    </row>
    <row r="37" hidden="1" outlineLevel="1" customFormat="1" s="202">
      <c r="B37" s="450" t="inlineStr">
        <is>
          <t>Legal expenses - external counsel</t>
        </is>
      </c>
      <c r="C37" s="969" t="inlineStr">
        <is>
          <t>Nisha</t>
        </is>
      </c>
      <c r="E37" s="973" t="n"/>
      <c r="F37" s="1009" t="n">
        <v>425000</v>
      </c>
      <c r="G37" s="977">
        <f>SUM(E37:F37)</f>
        <v/>
      </c>
      <c r="H37" s="970" t="n"/>
      <c r="I37" s="976" t="n"/>
      <c r="J37" s="976" t="n"/>
      <c r="K37" s="976" t="n"/>
      <c r="L37" s="975">
        <f>SUM(H37:K37)</f>
        <v/>
      </c>
      <c r="M37" s="976" t="n"/>
      <c r="N37" s="976" t="n"/>
      <c r="O37" s="976" t="n"/>
      <c r="P37" s="976" t="n"/>
      <c r="Q37" s="977">
        <f>SUM(M37:P37)</f>
        <v/>
      </c>
      <c r="R37" s="976" t="n"/>
      <c r="S37" s="976" t="n"/>
      <c r="T37" s="976" t="n"/>
      <c r="U37" s="976" t="n"/>
      <c r="V37" s="977">
        <f>SUM(R37:U37)</f>
        <v/>
      </c>
      <c r="W37" s="1010">
        <f>G37+L37+Q37+V37</f>
        <v/>
      </c>
      <c r="X37" s="962" t="n"/>
      <c r="Y37" s="216" t="n"/>
    </row>
    <row r="38" hidden="1" outlineLevel="1" customFormat="1" s="202">
      <c r="B38" s="450" t="inlineStr">
        <is>
          <t>Engineering - Agora + other aps</t>
        </is>
      </c>
      <c r="C38" s="969" t="inlineStr">
        <is>
          <t>Paul Quinn</t>
        </is>
      </c>
      <c r="E38" s="981" t="n"/>
      <c r="F38" s="1002">
        <f>'2) SW Eng'!$I$41</f>
        <v/>
      </c>
      <c r="G38" s="983">
        <f>SUM(E38:F38)</f>
        <v/>
      </c>
      <c r="H38" s="986">
        <f>'2) SW Eng'!J41</f>
        <v/>
      </c>
      <c r="I38" s="986">
        <f>'2) SW Eng'!K41</f>
        <v/>
      </c>
      <c r="J38" s="986">
        <f>'2) SW Eng'!L41</f>
        <v/>
      </c>
      <c r="K38" s="986">
        <f>'2) SW Eng'!M41</f>
        <v/>
      </c>
      <c r="L38" s="984">
        <f>SUM(H38:K38)</f>
        <v/>
      </c>
      <c r="M38" s="969">
        <f>'2) SW Eng'!N41</f>
        <v/>
      </c>
      <c r="N38" s="986">
        <f>'2) SW Eng'!O41</f>
        <v/>
      </c>
      <c r="O38" s="986">
        <f>'2) SW Eng'!P41</f>
        <v/>
      </c>
      <c r="P38" s="986">
        <f>'2) SW Eng'!Q41</f>
        <v/>
      </c>
      <c r="Q38" s="983">
        <f>SUM(M38:P38)</f>
        <v/>
      </c>
      <c r="R38" s="969">
        <f>'2) SW Eng'!P41</f>
        <v/>
      </c>
      <c r="S38" s="969">
        <f>'2) SW Eng'!Q41</f>
        <v/>
      </c>
      <c r="T38" s="969">
        <f>'2) SW Eng'!R41</f>
        <v/>
      </c>
      <c r="U38" s="969">
        <f>'2) SW Eng'!S41</f>
        <v/>
      </c>
      <c r="V38" s="983">
        <f>SUM(R38:U38)</f>
        <v/>
      </c>
      <c r="W38" s="985">
        <f>G38+L38+Q38+V38</f>
        <v/>
      </c>
      <c r="X38" s="962" t="n"/>
      <c r="Y38" s="216" t="n"/>
    </row>
    <row r="39" hidden="1" outlineLevel="1" customFormat="1" s="202">
      <c r="B39" s="203" t="inlineStr">
        <is>
          <t>Operations</t>
        </is>
      </c>
      <c r="C39" s="969" t="inlineStr">
        <is>
          <t>Bobinder</t>
        </is>
      </c>
      <c r="E39" s="969">
        <f>'14) Operations'!$H$41</f>
        <v/>
      </c>
      <c r="F39" s="1002">
        <f>E39</f>
        <v/>
      </c>
      <c r="G39" s="983">
        <f>SUM(E39:F39)</f>
        <v/>
      </c>
      <c r="H39" s="986">
        <f>E39</f>
        <v/>
      </c>
      <c r="I39" s="969">
        <f>H39</f>
        <v/>
      </c>
      <c r="J39" s="969" t="n"/>
      <c r="K39" s="969" t="n"/>
      <c r="L39" s="984">
        <f>SUM(H39:K39)</f>
        <v/>
      </c>
      <c r="M39" s="969" t="n"/>
      <c r="N39" s="969" t="n"/>
      <c r="O39" s="969" t="n"/>
      <c r="P39" s="969" t="n"/>
      <c r="Q39" s="983">
        <f>SUM(M39:P39)</f>
        <v/>
      </c>
      <c r="R39" s="969" t="n"/>
      <c r="S39" s="969" t="n"/>
      <c r="T39" s="969" t="n"/>
      <c r="U39" s="969" t="n"/>
      <c r="V39" s="983">
        <f>SUM(R39:U39)</f>
        <v/>
      </c>
      <c r="W39" s="985">
        <f>G39+L39+Q39+V39</f>
        <v/>
      </c>
      <c r="X39" s="962" t="n"/>
      <c r="Y39" s="216" t="n"/>
    </row>
    <row r="40" hidden="1" outlineLevel="1" customFormat="1" s="202">
      <c r="B40" s="450" t="inlineStr">
        <is>
          <t>Tax - compliance costs</t>
        </is>
      </c>
      <c r="C40" s="969" t="inlineStr">
        <is>
          <t>Anu/Harvey</t>
        </is>
      </c>
      <c r="E40" s="981" t="n"/>
      <c r="F40" s="1002" t="n"/>
      <c r="G40" s="983">
        <f>SUM(E40:F40)</f>
        <v/>
      </c>
      <c r="H40" s="986" t="n"/>
      <c r="I40" s="969" t="n">
        <v>12000</v>
      </c>
      <c r="J40" s="969" t="n"/>
      <c r="K40" s="969" t="n"/>
      <c r="L40" s="984">
        <f>SUM(H40:K40)</f>
        <v/>
      </c>
      <c r="M40" s="1007" t="n"/>
      <c r="N40" s="1007">
        <f>I40</f>
        <v/>
      </c>
      <c r="O40" s="1007" t="n"/>
      <c r="P40" s="1007" t="n"/>
      <c r="Q40" s="983">
        <f>SUM(M40:P40)</f>
        <v/>
      </c>
      <c r="R40" s="1008" t="n"/>
      <c r="S40" s="1007">
        <f>I40</f>
        <v/>
      </c>
      <c r="T40" s="1007" t="n"/>
      <c r="U40" s="1007" t="n"/>
      <c r="V40" s="983">
        <f>SUM(R40:U40)</f>
        <v/>
      </c>
      <c r="W40" s="985">
        <f>G40+L40+Q40+V40</f>
        <v/>
      </c>
      <c r="X40" s="962" t="n"/>
      <c r="Y40" s="216" t="n"/>
    </row>
    <row r="41" hidden="1" outlineLevel="1" customFormat="1" s="202">
      <c r="B41" s="360" t="inlineStr">
        <is>
          <t>Tax - stamp duty</t>
        </is>
      </c>
      <c r="C41" s="1011" t="inlineStr">
        <is>
          <t>Legal</t>
        </is>
      </c>
      <c r="E41" s="981" t="n"/>
      <c r="F41" s="1002">
        <f>7500000*50%*0.2%</f>
        <v/>
      </c>
      <c r="G41" s="983">
        <f>SUM(E41:F41)</f>
        <v/>
      </c>
      <c r="H41" s="986" t="n"/>
      <c r="I41" s="969" t="n"/>
      <c r="J41" s="969" t="n"/>
      <c r="K41" s="969" t="n"/>
      <c r="L41" s="984">
        <f>SUM(H41:K41)</f>
        <v/>
      </c>
      <c r="M41" s="969" t="n"/>
      <c r="N41" s="969">
        <f>I41</f>
        <v/>
      </c>
      <c r="O41" s="969" t="n"/>
      <c r="P41" s="969" t="n"/>
      <c r="Q41" s="983">
        <f>SUM(M41:P41)</f>
        <v/>
      </c>
      <c r="R41" s="986" t="n"/>
      <c r="S41" s="969">
        <f>I41</f>
        <v/>
      </c>
      <c r="T41" s="969" t="n"/>
      <c r="U41" s="969" t="n"/>
      <c r="V41" s="983">
        <f>SUM(R41:U41)</f>
        <v/>
      </c>
      <c r="W41" s="985">
        <f>G41+L41+Q41+V41</f>
        <v/>
      </c>
      <c r="X41" s="962" t="n"/>
      <c r="Y41" s="444" t="n"/>
      <c r="Z41" s="444" t="n"/>
      <c r="AA41" s="444" t="n"/>
      <c r="AB41" s="444" t="n"/>
      <c r="AC41" s="444" t="n"/>
      <c r="AD41" s="444" t="n"/>
      <c r="AE41" s="444" t="n"/>
      <c r="AF41" s="444" t="n"/>
      <c r="AG41" s="444" t="n"/>
      <c r="AH41" s="444" t="n"/>
      <c r="AI41" s="444" t="n"/>
      <c r="AJ41" s="444" t="n"/>
      <c r="AK41" s="444" t="n"/>
      <c r="AL41" s="444" t="n"/>
      <c r="AM41" s="444" t="n"/>
      <c r="AN41" s="444" t="n"/>
      <c r="AO41" s="444" t="n"/>
    </row>
    <row r="42" hidden="1" outlineLevel="1" customFormat="1" s="202">
      <c r="B42" s="203" t="inlineStr">
        <is>
          <t>Other</t>
        </is>
      </c>
      <c r="C42" s="969" t="n"/>
      <c r="E42" s="962" t="n"/>
      <c r="F42" s="1002" t="n">
        <v>25000</v>
      </c>
      <c r="G42" s="983">
        <f>SUM(E42:F42)</f>
        <v/>
      </c>
      <c r="H42" s="986">
        <f>F42</f>
        <v/>
      </c>
      <c r="I42" s="969">
        <f>G42</f>
        <v/>
      </c>
      <c r="J42" s="969">
        <f>H42</f>
        <v/>
      </c>
      <c r="K42" s="969">
        <f>I42</f>
        <v/>
      </c>
      <c r="L42" s="984">
        <f>SUM(H42:K42)</f>
        <v/>
      </c>
      <c r="M42" s="969">
        <f>H42</f>
        <v/>
      </c>
      <c r="N42" s="969">
        <f>I42</f>
        <v/>
      </c>
      <c r="O42" s="969">
        <f>J42</f>
        <v/>
      </c>
      <c r="P42" s="969">
        <f>K42</f>
        <v/>
      </c>
      <c r="Q42" s="983">
        <f>SUM(M42:P42)</f>
        <v/>
      </c>
      <c r="R42" s="969">
        <f>M42</f>
        <v/>
      </c>
      <c r="S42" s="969">
        <f>N42</f>
        <v/>
      </c>
      <c r="T42" s="969">
        <f>O42</f>
        <v/>
      </c>
      <c r="U42" s="969">
        <f>P42</f>
        <v/>
      </c>
      <c r="V42" s="983">
        <f>SUM(R42:U42)</f>
        <v/>
      </c>
      <c r="W42" s="985">
        <f>G42+L42+Q42+V42</f>
        <v/>
      </c>
      <c r="X42" s="962" t="n"/>
      <c r="Y42" s="216" t="n"/>
    </row>
    <row r="43" hidden="1" outlineLevel="1" customFormat="1" s="257">
      <c r="B43" s="219" t="inlineStr">
        <is>
          <t>Total Operating costs</t>
        </is>
      </c>
      <c r="C43" s="1012" t="n"/>
      <c r="E43" s="1013" t="n"/>
      <c r="F43" s="1014">
        <f>F29+F31+SUM(F32:F42)</f>
        <v/>
      </c>
      <c r="G43" s="1014">
        <f>G29+G31+SUM(G32:G42)</f>
        <v/>
      </c>
      <c r="H43" s="1015">
        <f>H29+H31+SUM(H32:H42)</f>
        <v/>
      </c>
      <c r="I43" s="1013">
        <f>I29+I31+SUM(I32:I42)</f>
        <v/>
      </c>
      <c r="J43" s="1013">
        <f>J29+J31+SUM(J32:J42)</f>
        <v/>
      </c>
      <c r="K43" s="1013">
        <f>K29+K31+SUM(K32:K42)</f>
        <v/>
      </c>
      <c r="L43" s="1016">
        <f>L29+L31+SUM(L32:L42)</f>
        <v/>
      </c>
      <c r="M43" s="1013">
        <f>M29+M31+SUM(M32:M42)</f>
        <v/>
      </c>
      <c r="N43" s="1013">
        <f>N29+N31+SUM(N32:N42)</f>
        <v/>
      </c>
      <c r="O43" s="1013">
        <f>O29+O31+SUM(O32:O42)</f>
        <v/>
      </c>
      <c r="P43" s="1013">
        <f>P29+P31+SUM(P32:P42)</f>
        <v/>
      </c>
      <c r="Q43" s="1017">
        <f>Q29+Q31+SUM(Q32:Q42)</f>
        <v/>
      </c>
      <c r="R43" s="1013">
        <f>R29+R31+SUM(R32:R42)</f>
        <v/>
      </c>
      <c r="S43" s="1013">
        <f>S29+S31+SUM(S32:S42)</f>
        <v/>
      </c>
      <c r="T43" s="1013">
        <f>T29+T31+SUM(T32:T42)</f>
        <v/>
      </c>
      <c r="U43" s="1013">
        <f>U29+U31+SUM(U32:U42)</f>
        <v/>
      </c>
      <c r="V43" s="1017">
        <f>V29+V31+SUM(V32:V42)</f>
        <v/>
      </c>
      <c r="W43" s="1018">
        <f>G43+L43+Q43+V43</f>
        <v/>
      </c>
      <c r="X43" s="1013" t="n"/>
      <c r="Y43" s="264" t="n"/>
    </row>
    <row r="44" hidden="1" outlineLevel="1" collapsed="1" customFormat="1" s="303">
      <c r="B44" s="265" t="inlineStr">
        <is>
          <t>Total Costs associated with current employees</t>
        </is>
      </c>
      <c r="C44" s="266" t="n"/>
      <c r="D44" s="266" t="n"/>
      <c r="E44" s="1019">
        <f>E22+E24+E26+E27+E28+E31+E32+E35+E36+E40+E38+E37+E42+E34+E39+E33+E16+E17</f>
        <v/>
      </c>
      <c r="F44" s="1019">
        <f>F22+F24+F26+F27+F28+F31+F32+F35+F36+F40+F38+F37+F42+F34+F39+F33+F16+F17</f>
        <v/>
      </c>
      <c r="G44" s="1019">
        <f>G22+G24+G26+G27+G28+G31+G32+G35+G36+G40+G38+G37+G42+G34+G39+G33+G16+G17</f>
        <v/>
      </c>
      <c r="H44" s="1019">
        <f>H22+H24+H26+H27+H28+H31+H32+H35+H36+H40+H38+H37+H42+H34+H39+H33+H16+H17</f>
        <v/>
      </c>
      <c r="I44" s="1019">
        <f>I22+I24+I26+I27+I28+I31+I32+I35+I36+I40+I38+I37+I42+I34+I39+I33+I16+I17</f>
        <v/>
      </c>
      <c r="J44" s="1019">
        <f>J22+J24+J26+J27+J28+J31+J32+J35+J36+J40+J38+J37+J42+J34+J39+J33+J16+J17</f>
        <v/>
      </c>
      <c r="K44" s="1019">
        <f>K22+K24+K26+K27+K28+K31+K32+K35+K36+K40+K38+K37+K42+K34+K39+K33+K16+K17</f>
        <v/>
      </c>
      <c r="L44" s="1020">
        <f>L22+L24+L26+L27+L28+L31+L32+L35+L36+L40+L38+L37+L42+L34+L39+L33+L16+L17</f>
        <v/>
      </c>
      <c r="M44" s="1019">
        <f>M22+M24+M26+M27+M28+M31+M32+M35+M36+M40+M38+M37+M42+M34+M39+M33+M16+M17</f>
        <v/>
      </c>
      <c r="N44" s="1019">
        <f>N22+N24+N26+N27+N28+N31+N32+N35+N36+N40+N38+N37+N42+N34+N39+N33+N16+N17</f>
        <v/>
      </c>
      <c r="O44" s="1019">
        <f>O22+O24+O26+O27+O28+O31+O32+O35+O36+O40+O38+O37+O42+O34+O39+O33+O16+O17</f>
        <v/>
      </c>
      <c r="P44" s="1019">
        <f>P22+P24+P26+P27+P28+P31+P32+P35+P36+P40+P38+P37+P42+P34+P39+P33+P16+P17</f>
        <v/>
      </c>
      <c r="Q44" s="1019">
        <f>Q22+Q24+Q26+Q27+Q28+Q31+Q32+Q35+Q36+Q40+Q38+Q37+Q42+Q34+Q39+Q33+Q16+Q17</f>
        <v/>
      </c>
      <c r="R44" s="1019">
        <f>R22+R24+R26+R27+R28+R31+R32+R35+R36+R40+R38+R37+R42+R34+R39+R33+R16+R17</f>
        <v/>
      </c>
      <c r="S44" s="1019">
        <f>S22+S24+S26+S27+S28+S31+S32+S35+S36+S40+S38+S37+S42+S34+S39+S33+S16+S17</f>
        <v/>
      </c>
      <c r="T44" s="1019">
        <f>T22+T24+T26+T27+T28+T31+T32+T35+T36+T40+T38+T37+T42+T34+T39+T33+T16+T17</f>
        <v/>
      </c>
      <c r="U44" s="1019">
        <f>U22+U24+U26+U27+U28+U31+U32+U35+U36+U40+U38+U37+U42+U34+U39+U33+U16+U17</f>
        <v/>
      </c>
      <c r="V44" s="1019">
        <f>V22+V24+V26+V27+V28+V31+V32+V35+V36+V40+V38+V37+V42+V34+V39+V33+V16+V17</f>
        <v/>
      </c>
      <c r="W44" s="1019">
        <f>W22+W24+W26+W27+W28+W31+W32+W35+W36+W40+W38+W37+W42+W34+W39+W33+W16+W17</f>
        <v/>
      </c>
      <c r="X44" s="1013" t="n"/>
      <c r="Y44" s="216" t="n"/>
    </row>
    <row r="45" hidden="1" outlineLevel="2" customFormat="1" s="303">
      <c r="B45" s="269" t="inlineStr">
        <is>
          <t>Check</t>
        </is>
      </c>
      <c r="C45" s="226" t="n"/>
      <c r="D45" s="226" t="n"/>
      <c r="E45" s="962" t="n"/>
      <c r="F45" s="962" t="n"/>
      <c r="G45" s="1012">
        <f>G44</f>
        <v/>
      </c>
      <c r="H45" s="962" t="n"/>
      <c r="I45" s="962" t="n"/>
      <c r="J45" s="962" t="n"/>
      <c r="K45" s="962" t="n"/>
      <c r="L45" s="1021">
        <f>L44</f>
        <v/>
      </c>
      <c r="M45" s="962" t="n"/>
      <c r="N45" s="962" t="n"/>
      <c r="O45" s="962" t="n"/>
      <c r="P45" s="962" t="n"/>
      <c r="Q45" s="1012">
        <f>Q44</f>
        <v/>
      </c>
      <c r="R45" s="962" t="n"/>
      <c r="S45" s="962" t="n"/>
      <c r="T45" s="962" t="n"/>
      <c r="U45" s="962" t="n"/>
      <c r="V45" s="1012">
        <f>V44</f>
        <v/>
      </c>
      <c r="W45" s="1022">
        <f>(G45+L45+Q45+V45)-W44</f>
        <v/>
      </c>
      <c r="X45" s="1023" t="n"/>
      <c r="Y45" s="216" t="n"/>
    </row>
    <row r="46" hidden="1" outlineLevel="1" customFormat="1" s="303">
      <c r="B46" s="269" t="n"/>
      <c r="C46" s="226" t="n"/>
      <c r="D46" s="226" t="n"/>
      <c r="E46" s="962" t="n"/>
      <c r="F46" s="962" t="n"/>
      <c r="G46" s="1012" t="n"/>
      <c r="H46" s="962" t="n"/>
      <c r="I46" s="962" t="n"/>
      <c r="J46" s="962" t="n"/>
      <c r="K46" s="962" t="n"/>
      <c r="L46" s="1021" t="n"/>
      <c r="M46" s="962" t="n"/>
      <c r="N46" s="962" t="n"/>
      <c r="O46" s="962" t="n"/>
      <c r="P46" s="962" t="n"/>
      <c r="Q46" s="1012" t="n"/>
      <c r="R46" s="962" t="n"/>
      <c r="S46" s="962" t="n"/>
      <c r="T46" s="962" t="n"/>
      <c r="U46" s="962" t="n"/>
      <c r="V46" s="1012" t="n"/>
      <c r="W46" s="1022" t="n"/>
      <c r="X46" s="1023" t="n"/>
      <c r="Y46" s="216" t="n"/>
    </row>
    <row r="47" hidden="1" outlineLevel="1" customFormat="1" s="303">
      <c r="B47" s="269" t="n"/>
      <c r="C47" s="226" t="n"/>
      <c r="D47" s="226" t="n"/>
      <c r="E47" s="962" t="n"/>
      <c r="F47" s="333" t="n"/>
      <c r="G47" s="1012" t="n"/>
      <c r="H47" s="333" t="n"/>
      <c r="I47" s="333" t="n"/>
      <c r="J47" s="333" t="n"/>
      <c r="K47" s="333" t="n"/>
      <c r="L47" s="1021" t="n"/>
      <c r="M47" s="333" t="n">
        <v>0.05</v>
      </c>
      <c r="N47" s="333" t="n"/>
      <c r="O47" s="333" t="n"/>
      <c r="P47" s="333" t="n"/>
      <c r="Q47" s="1012" t="n"/>
      <c r="R47" s="333" t="n">
        <v>0.05</v>
      </c>
      <c r="S47" s="333" t="n"/>
      <c r="T47" s="333" t="n"/>
      <c r="U47" s="333" t="n"/>
      <c r="V47" s="1012" t="n"/>
      <c r="W47" s="1022" t="n"/>
      <c r="X47" s="1023" t="n"/>
      <c r="Y47" s="216" t="n"/>
    </row>
    <row r="48" hidden="1" outlineLevel="3" collapsed="1" customFormat="1" s="218">
      <c r="B48" s="234" t="inlineStr">
        <is>
          <t>Gross Wages</t>
        </is>
      </c>
      <c r="C48" s="1024" t="n"/>
      <c r="D48" s="1025" t="n"/>
      <c r="E48" s="1026" t="n"/>
      <c r="F48" s="1027">
        <f>((650000*0.12755)*F12)/4</f>
        <v/>
      </c>
      <c r="G48" s="988">
        <f>SUM(E48:F48)</f>
        <v/>
      </c>
      <c r="H48" s="1027">
        <f>((650000*0.12755)*H12)/4</f>
        <v/>
      </c>
      <c r="I48" s="1027">
        <f>((650000*0.12755)*I12)/4</f>
        <v/>
      </c>
      <c r="J48" s="1027">
        <f>((650000*0.12755)*J12)/4</f>
        <v/>
      </c>
      <c r="K48" s="1027">
        <f>((650000*0.12755)*K12)/4</f>
        <v/>
      </c>
      <c r="L48" s="990">
        <f>SUM(H48:K48)</f>
        <v/>
      </c>
      <c r="M48" s="1027">
        <f>K48*(1+M47)</f>
        <v/>
      </c>
      <c r="N48" s="1027">
        <f>M48</f>
        <v/>
      </c>
      <c r="O48" s="1027">
        <f>N48</f>
        <v/>
      </c>
      <c r="P48" s="1027">
        <f>O48</f>
        <v/>
      </c>
      <c r="Q48" s="988">
        <f>SUM(M48:P48)</f>
        <v/>
      </c>
      <c r="R48" s="1027">
        <f>P48*(1+R47)</f>
        <v/>
      </c>
      <c r="S48" s="1027">
        <f>R48</f>
        <v/>
      </c>
      <c r="T48" s="1027">
        <f>S48</f>
        <v/>
      </c>
      <c r="U48" s="1027">
        <f>T48</f>
        <v/>
      </c>
      <c r="V48" s="988">
        <f>SUM(R48:U48)</f>
        <v/>
      </c>
      <c r="W48" s="1022">
        <f>G48+L48+Q48+V48</f>
        <v/>
      </c>
      <c r="X48" s="1023" t="n"/>
      <c r="Y48" s="1028" t="n"/>
      <c r="Z48" s="459">
        <f>(L48-L22)/L22</f>
        <v/>
      </c>
      <c r="AA48" s="780" t="n"/>
      <c r="AB48" s="780" t="n"/>
      <c r="AC48" s="780" t="n"/>
      <c r="AD48" s="780" t="n"/>
      <c r="AE48" s="780" t="n"/>
      <c r="AF48" s="780" t="n"/>
      <c r="AG48" s="780" t="n"/>
      <c r="AH48" s="780" t="n"/>
    </row>
    <row r="49" hidden="1" outlineLevel="4" customFormat="1" s="218">
      <c r="B49" s="362" t="inlineStr">
        <is>
          <t>Bonus % assumption</t>
        </is>
      </c>
      <c r="C49" s="1024" t="n"/>
      <c r="D49" s="1025" t="n"/>
      <c r="E49" s="1026" t="n"/>
      <c r="F49" s="363" t="n">
        <v>0.1</v>
      </c>
      <c r="G49" s="988" t="n"/>
      <c r="H49" s="363">
        <f>F49</f>
        <v/>
      </c>
      <c r="I49" s="363">
        <f>H49</f>
        <v/>
      </c>
      <c r="J49" s="363">
        <f>I49</f>
        <v/>
      </c>
      <c r="K49" s="363">
        <f>J49</f>
        <v/>
      </c>
      <c r="L49" s="990" t="n"/>
      <c r="M49" s="363">
        <f>K49</f>
        <v/>
      </c>
      <c r="N49" s="363">
        <f>M49</f>
        <v/>
      </c>
      <c r="O49" s="363">
        <f>N49</f>
        <v/>
      </c>
      <c r="P49" s="363">
        <f>O49</f>
        <v/>
      </c>
      <c r="Q49" s="988" t="n"/>
      <c r="R49" s="363">
        <f>M49</f>
        <v/>
      </c>
      <c r="S49" s="363">
        <f>R49</f>
        <v/>
      </c>
      <c r="T49" s="363">
        <f>S49</f>
        <v/>
      </c>
      <c r="U49" s="363">
        <f>T49</f>
        <v/>
      </c>
      <c r="V49" s="988" t="n"/>
      <c r="W49" s="1022" t="n"/>
      <c r="X49" s="1023" t="n"/>
      <c r="Y49" s="780" t="n"/>
      <c r="Z49" s="780" t="n"/>
      <c r="AA49" s="780" t="n"/>
      <c r="AB49" s="780" t="n"/>
      <c r="AC49" s="780" t="n"/>
      <c r="AD49" s="780" t="n"/>
      <c r="AE49" s="780" t="n"/>
      <c r="AF49" s="780" t="n"/>
      <c r="AG49" s="780" t="n"/>
      <c r="AH49" s="780" t="n"/>
      <c r="AI49" s="303" t="n"/>
    </row>
    <row r="50" hidden="1" outlineLevel="3" collapsed="1" customFormat="1" s="218">
      <c r="B50" s="234" t="inlineStr">
        <is>
          <t>Bonus</t>
        </is>
      </c>
      <c r="C50" s="1024" t="n"/>
      <c r="D50" s="1025" t="n"/>
      <c r="E50" s="1029" t="n"/>
      <c r="F50" s="1030">
        <f>F48*F49</f>
        <v/>
      </c>
      <c r="G50" s="988">
        <f>SUM(E50:F50)</f>
        <v/>
      </c>
      <c r="H50" s="1027">
        <f>H48*H49</f>
        <v/>
      </c>
      <c r="I50" s="1027">
        <f>I48*I49</f>
        <v/>
      </c>
      <c r="J50" s="1027">
        <f>J48*J49</f>
        <v/>
      </c>
      <c r="K50" s="1027">
        <f>K48*K49</f>
        <v/>
      </c>
      <c r="L50" s="990">
        <f>SUM(H50:K50)</f>
        <v/>
      </c>
      <c r="M50" s="1027">
        <f>M48*M49</f>
        <v/>
      </c>
      <c r="N50" s="1027">
        <f>N48*N49</f>
        <v/>
      </c>
      <c r="O50" s="1027">
        <f>O48*O49</f>
        <v/>
      </c>
      <c r="P50" s="1027">
        <f>P48*P49</f>
        <v/>
      </c>
      <c r="Q50" s="988">
        <f>SUM(M50:P50)</f>
        <v/>
      </c>
      <c r="R50" s="1027">
        <f>R48*R49</f>
        <v/>
      </c>
      <c r="S50" s="1027">
        <f>S48*S49</f>
        <v/>
      </c>
      <c r="T50" s="1027">
        <f>T48*T49</f>
        <v/>
      </c>
      <c r="U50" s="1027">
        <f>U48*U49</f>
        <v/>
      </c>
      <c r="V50" s="988">
        <f>SUM(R50:U50)</f>
        <v/>
      </c>
      <c r="W50" s="1022">
        <f>G50+L50+Q50+V50</f>
        <v/>
      </c>
      <c r="X50" s="1023" t="n"/>
      <c r="Y50" s="780" t="n"/>
    </row>
    <row r="51" hidden="1" outlineLevel="4" customFormat="1" s="202">
      <c r="B51" s="362" t="inlineStr">
        <is>
          <t>Fringe assumption</t>
        </is>
      </c>
      <c r="C51" s="969" t="n"/>
      <c r="D51" s="992" t="n"/>
      <c r="E51" s="981" t="n"/>
      <c r="F51" s="240" t="n">
        <v>0.15</v>
      </c>
      <c r="G51" s="241">
        <f>F51</f>
        <v/>
      </c>
      <c r="H51" s="231">
        <f>G51</f>
        <v/>
      </c>
      <c r="I51" s="233">
        <f>H51</f>
        <v/>
      </c>
      <c r="J51" s="233">
        <f>I51</f>
        <v/>
      </c>
      <c r="K51" s="233">
        <f>J51</f>
        <v/>
      </c>
      <c r="L51" s="439">
        <f>K51</f>
        <v/>
      </c>
      <c r="M51" s="233">
        <f>L51</f>
        <v/>
      </c>
      <c r="N51" s="233">
        <f>M51</f>
        <v/>
      </c>
      <c r="O51" s="233">
        <f>N51</f>
        <v/>
      </c>
      <c r="P51" s="233">
        <f>O51</f>
        <v/>
      </c>
      <c r="Q51" s="241">
        <f>P51</f>
        <v/>
      </c>
      <c r="R51" s="233">
        <f>Q51</f>
        <v/>
      </c>
      <c r="S51" s="233">
        <f>R51</f>
        <v/>
      </c>
      <c r="T51" s="233">
        <f>S51</f>
        <v/>
      </c>
      <c r="U51" s="233">
        <f>T51</f>
        <v/>
      </c>
      <c r="V51" s="241">
        <f>U51</f>
        <v/>
      </c>
      <c r="W51" s="356">
        <f>G51+L51+Q51+V51</f>
        <v/>
      </c>
      <c r="X51" s="233" t="n"/>
      <c r="Y51" s="780" t="n"/>
      <c r="Z51" s="780" t="n"/>
      <c r="AA51" s="780" t="n"/>
      <c r="AB51" s="780" t="n"/>
      <c r="AC51" s="780" t="n"/>
      <c r="AD51" s="780" t="n"/>
      <c r="AE51" s="780" t="n"/>
      <c r="AF51" s="780" t="n"/>
      <c r="AG51" s="780" t="n"/>
      <c r="AH51" s="780" t="n"/>
    </row>
    <row r="52" hidden="1" outlineLevel="3" collapsed="1" customFormat="1" s="218">
      <c r="B52" s="234" t="inlineStr">
        <is>
          <t>Fringe</t>
        </is>
      </c>
      <c r="C52" s="1024" t="n"/>
      <c r="D52" s="1025" t="n"/>
      <c r="E52" s="1031" t="n"/>
      <c r="F52" s="1027">
        <f>SUM(F48:F50)*$F$51</f>
        <v/>
      </c>
      <c r="G52" s="988">
        <f>SUM(E52:F52)</f>
        <v/>
      </c>
      <c r="H52" s="1027">
        <f>SUM(H48:H50)*$F$51</f>
        <v/>
      </c>
      <c r="I52" s="1027">
        <f>SUM(I48:I50)*$F$51</f>
        <v/>
      </c>
      <c r="J52" s="1027">
        <f>SUM(J48:J50)*$F$51</f>
        <v/>
      </c>
      <c r="K52" s="1027">
        <f>SUM(K48:K50)*$F$51</f>
        <v/>
      </c>
      <c r="L52" s="990">
        <f>SUM(H52:K52)</f>
        <v/>
      </c>
      <c r="M52" s="1027">
        <f>SUM(M48:M50)*$F$51</f>
        <v/>
      </c>
      <c r="N52" s="1027">
        <f>SUM(N48:N50)*$F$51</f>
        <v/>
      </c>
      <c r="O52" s="1027">
        <f>SUM(O48:O50)*$F$51</f>
        <v/>
      </c>
      <c r="P52" s="1027">
        <f>SUM(P48:P50)*$F$51</f>
        <v/>
      </c>
      <c r="Q52" s="988">
        <f>SUM(M52:P52)</f>
        <v/>
      </c>
      <c r="R52" s="1027">
        <f>SUM(R48:R50)*$F$51</f>
        <v/>
      </c>
      <c r="S52" s="1027">
        <f>SUM(S48:S50)*$F$51</f>
        <v/>
      </c>
      <c r="T52" s="1027">
        <f>SUM(T48:T50)*$F$51</f>
        <v/>
      </c>
      <c r="U52" s="1027">
        <f>SUM(U48:U50)*$F$51</f>
        <v/>
      </c>
      <c r="V52" s="988">
        <f>SUM(R52:U52)</f>
        <v/>
      </c>
      <c r="W52" s="1022">
        <f>G52+L52+Q52+V52</f>
        <v/>
      </c>
      <c r="X52" s="1023" t="n"/>
      <c r="Y52" s="780" t="n"/>
    </row>
    <row r="53" hidden="1" outlineLevel="3" customFormat="1" s="218">
      <c r="B53" s="234" t="inlineStr">
        <is>
          <t>Recruiting cost</t>
        </is>
      </c>
      <c r="C53" s="1024" t="n"/>
      <c r="D53" s="1025" t="n"/>
      <c r="E53" s="1031" t="n"/>
      <c r="F53" s="1027">
        <f>((F48/F12)/3*2)*6</f>
        <v/>
      </c>
      <c r="G53" s="988">
        <f>SUM(E53:F53)</f>
        <v/>
      </c>
      <c r="H53" s="1027">
        <f>((H48/12)/3*2)*6</f>
        <v/>
      </c>
      <c r="I53" s="1027" t="n"/>
      <c r="J53" s="1027">
        <f>((J48/14)/3*2)*2</f>
        <v/>
      </c>
      <c r="K53" s="1027" t="n"/>
      <c r="L53" s="990">
        <f>SUM(H53:K53)</f>
        <v/>
      </c>
      <c r="M53" s="1027" t="n"/>
      <c r="N53" s="1027" t="n"/>
      <c r="O53" s="1027" t="n"/>
      <c r="P53" s="1027" t="n"/>
      <c r="Q53" s="988">
        <f>SUM(M53:P53)</f>
        <v/>
      </c>
      <c r="R53" s="1027" t="n"/>
      <c r="S53" s="1027" t="n"/>
      <c r="T53" s="1027" t="n"/>
      <c r="U53" s="1027" t="n"/>
      <c r="V53" s="988">
        <f>SUM(R53:U53)</f>
        <v/>
      </c>
      <c r="W53" s="1022">
        <f>G53+L53+Q53+V53</f>
        <v/>
      </c>
      <c r="X53" s="1023" t="n"/>
      <c r="Y53" s="246" t="n"/>
      <c r="Z53" s="780" t="n"/>
      <c r="AA53" s="1032" t="n"/>
      <c r="AB53" s="780" t="n"/>
      <c r="AC53" s="780" t="n"/>
      <c r="AD53" s="780" t="n"/>
      <c r="AE53" s="780" t="n"/>
      <c r="AF53" s="780" t="n"/>
      <c r="AG53" s="780" t="n"/>
      <c r="AH53" s="780" t="n"/>
    </row>
    <row r="54" hidden="1" outlineLevel="1" ht="14.45" customFormat="1" customHeight="1" s="218">
      <c r="B54" s="280" t="inlineStr">
        <is>
          <t>HC Related costs</t>
        </is>
      </c>
      <c r="C54" s="1024" t="n"/>
      <c r="D54" s="1025" t="n"/>
      <c r="E54" s="1023">
        <f>SUM(E48:E53)</f>
        <v/>
      </c>
      <c r="F54" s="1002">
        <f>SUM(F48:F53)</f>
        <v/>
      </c>
      <c r="G54" s="983">
        <f>SUM(G48:G53)</f>
        <v/>
      </c>
      <c r="H54" s="986">
        <f>SUM(H48:H53)</f>
        <v/>
      </c>
      <c r="I54" s="969">
        <f>SUM(I48:I53)</f>
        <v/>
      </c>
      <c r="J54" s="969">
        <f>SUM(J48:J53)</f>
        <v/>
      </c>
      <c r="K54" s="969">
        <f>SUM(K48:K53)</f>
        <v/>
      </c>
      <c r="L54" s="984">
        <f>SUM(L48:L53)</f>
        <v/>
      </c>
      <c r="M54" s="969">
        <f>SUM(M48:M53)</f>
        <v/>
      </c>
      <c r="N54" s="969">
        <f>SUM(N48:N53)</f>
        <v/>
      </c>
      <c r="O54" s="969">
        <f>SUM(O48:O53)</f>
        <v/>
      </c>
      <c r="P54" s="969">
        <f>SUM(P48:P53)</f>
        <v/>
      </c>
      <c r="Q54" s="983">
        <f>SUM(Q48:Q53)</f>
        <v/>
      </c>
      <c r="R54" s="969">
        <f>SUM(R48:R53)</f>
        <v/>
      </c>
      <c r="S54" s="969">
        <f>SUM(S48:S53)</f>
        <v/>
      </c>
      <c r="T54" s="969">
        <f>SUM(T48:T53)</f>
        <v/>
      </c>
      <c r="U54" s="969">
        <f>SUM(U48:U53)</f>
        <v/>
      </c>
      <c r="V54" s="983">
        <f>SUM(V48:V53)</f>
        <v/>
      </c>
      <c r="W54" s="985">
        <f>SUM(W48:W53)</f>
        <v/>
      </c>
      <c r="X54" s="962" t="n"/>
      <c r="Y54" s="216" t="inlineStr">
        <is>
          <t>Still haven't got levelling/hr inputs</t>
        </is>
      </c>
      <c r="Z54" s="216" t="n"/>
      <c r="AA54" s="216" t="n"/>
      <c r="AB54" s="216" t="n"/>
      <c r="AC54" s="216" t="n"/>
      <c r="AD54" s="216" t="n"/>
      <c r="AE54" s="216" t="n"/>
      <c r="AF54" s="216" t="n"/>
      <c r="AG54" s="216" t="n"/>
      <c r="AH54" s="216" t="n"/>
    </row>
    <row r="55" hidden="1" outlineLevel="2" customFormat="1" s="218">
      <c r="B55" s="280" t="inlineStr">
        <is>
          <t>T&amp;E</t>
        </is>
      </c>
      <c r="C55" s="1033" t="n"/>
      <c r="D55" s="1025" t="n"/>
      <c r="E55" s="1024" t="n"/>
      <c r="F55" s="1027" t="n"/>
      <c r="G55" s="988">
        <f>SUM(E55:F55)</f>
        <v/>
      </c>
      <c r="H55" s="1027">
        <f>H12*$F$30</f>
        <v/>
      </c>
      <c r="I55" s="1027">
        <f>I12*$F$30</f>
        <v/>
      </c>
      <c r="J55" s="1027">
        <f>J12*$F$30</f>
        <v/>
      </c>
      <c r="K55" s="1027">
        <f>K12*$F$30</f>
        <v/>
      </c>
      <c r="L55" s="990">
        <f>SUM(H55:K55)</f>
        <v/>
      </c>
      <c r="M55" s="1027">
        <f>M12*$F$30</f>
        <v/>
      </c>
      <c r="N55" s="1027">
        <f>N12*$F$30</f>
        <v/>
      </c>
      <c r="O55" s="1027">
        <f>O12*$F$30</f>
        <v/>
      </c>
      <c r="P55" s="1027">
        <f>P12*$F$30</f>
        <v/>
      </c>
      <c r="Q55" s="988">
        <f>SUM(M55:P55)</f>
        <v/>
      </c>
      <c r="R55" s="1027">
        <f>R12*$F$30</f>
        <v/>
      </c>
      <c r="S55" s="1027">
        <f>S12*$F$30</f>
        <v/>
      </c>
      <c r="T55" s="1027">
        <f>T12*$F$30</f>
        <v/>
      </c>
      <c r="U55" s="1027">
        <f>U12*$F$30</f>
        <v/>
      </c>
      <c r="V55" s="988">
        <f>SUM(R55:U55)</f>
        <v/>
      </c>
      <c r="W55" s="1022">
        <f>G55+L55+Q55+V55</f>
        <v/>
      </c>
      <c r="X55" s="1023" t="n"/>
    </row>
    <row r="56" hidden="1" outlineLevel="2" customFormat="1" s="212">
      <c r="B56" s="280" t="inlineStr">
        <is>
          <t xml:space="preserve">Facility and Office Exp </t>
        </is>
      </c>
      <c r="C56" s="1034" t="n"/>
      <c r="D56" s="1035" t="n"/>
      <c r="E56" s="1034" t="n"/>
      <c r="F56" s="1034" t="n"/>
      <c r="G56" s="983">
        <f>SUM(E56:F56)</f>
        <v/>
      </c>
      <c r="H56" s="986">
        <f>'8) Facilities'!J41-H32</f>
        <v/>
      </c>
      <c r="I56" s="969">
        <f>'8) Facilities'!K41-I32</f>
        <v/>
      </c>
      <c r="J56" s="969">
        <f>'8) Facilities'!L41-J32</f>
        <v/>
      </c>
      <c r="K56" s="969">
        <f>'8) Facilities'!M41-K32</f>
        <v/>
      </c>
      <c r="L56" s="1022">
        <f>SUM(H56:K56)</f>
        <v/>
      </c>
      <c r="M56" s="1007">
        <f>K56</f>
        <v/>
      </c>
      <c r="N56" s="1007">
        <f>M56</f>
        <v/>
      </c>
      <c r="O56" s="1007">
        <f>M56</f>
        <v/>
      </c>
      <c r="P56" s="1007">
        <f>N56</f>
        <v/>
      </c>
      <c r="Q56" s="1023">
        <f>SUM(M56:P56)</f>
        <v/>
      </c>
      <c r="R56" s="1008">
        <f>M56</f>
        <v/>
      </c>
      <c r="S56" s="1007">
        <f>N56</f>
        <v/>
      </c>
      <c r="T56" s="1007">
        <f>O56</f>
        <v/>
      </c>
      <c r="U56" s="1007">
        <f>P56</f>
        <v/>
      </c>
      <c r="V56" s="1023">
        <f>SUM(R56:U56)</f>
        <v/>
      </c>
      <c r="W56" s="1022">
        <f>G56+L56+Q56+V56</f>
        <v/>
      </c>
      <c r="X56" s="1023" t="n"/>
    </row>
    <row r="57" hidden="1" outlineLevel="1" customFormat="1" s="303">
      <c r="B57" s="265" t="inlineStr">
        <is>
          <t>Costs related to New Employees in HK</t>
        </is>
      </c>
      <c r="C57" s="266" t="n"/>
      <c r="D57" s="266" t="n"/>
      <c r="E57" s="1019">
        <f>E54+E55+E56</f>
        <v/>
      </c>
      <c r="F57" s="1019">
        <f>F54+F55+F56</f>
        <v/>
      </c>
      <c r="G57" s="1019">
        <f>G54+G55+G56</f>
        <v/>
      </c>
      <c r="H57" s="1019">
        <f>H54+H55+H56</f>
        <v/>
      </c>
      <c r="I57" s="1019">
        <f>I54+I55+I56</f>
        <v/>
      </c>
      <c r="J57" s="1019">
        <f>J54+J55+J56</f>
        <v/>
      </c>
      <c r="K57" s="1019">
        <f>K54+K55+K56</f>
        <v/>
      </c>
      <c r="L57" s="1020">
        <f>L54+L55+L56</f>
        <v/>
      </c>
      <c r="M57" s="1019">
        <f>M54+M55+M56</f>
        <v/>
      </c>
      <c r="N57" s="1019">
        <f>N54+N55+N56</f>
        <v/>
      </c>
      <c r="O57" s="1019">
        <f>O54+O55+O56</f>
        <v/>
      </c>
      <c r="P57" s="1019">
        <f>P54+P55+P56</f>
        <v/>
      </c>
      <c r="Q57" s="1019">
        <f>Q54+Q55+Q56</f>
        <v/>
      </c>
      <c r="R57" s="1019">
        <f>R54+R55+R56</f>
        <v/>
      </c>
      <c r="S57" s="1019">
        <f>S54+S55+S56</f>
        <v/>
      </c>
      <c r="T57" s="1019">
        <f>T54+T55+T56</f>
        <v/>
      </c>
      <c r="U57" s="1019">
        <f>U54+U55+U56</f>
        <v/>
      </c>
      <c r="V57" s="1019">
        <f>V54+V55+V56</f>
        <v/>
      </c>
      <c r="W57" s="1020">
        <f>G57+L57+Q57+V57</f>
        <v/>
      </c>
      <c r="X57" s="962" t="n"/>
      <c r="Y57" s="216" t="n"/>
    </row>
    <row r="58" hidden="1" outlineLevel="1" s="802">
      <c r="B58" s="286" t="n"/>
      <c r="C58" s="305" t="n"/>
      <c r="D58" s="303" t="n"/>
      <c r="E58" s="1036" t="n"/>
      <c r="F58" s="1036" t="n"/>
      <c r="G58" s="1036" t="n"/>
      <c r="H58" s="1037" t="n"/>
      <c r="I58" s="1036" t="n"/>
      <c r="J58" s="1036" t="n"/>
      <c r="K58" s="1038" t="n"/>
      <c r="L58" s="1039" t="n"/>
      <c r="M58" s="1036" t="n"/>
      <c r="N58" s="1036" t="n"/>
      <c r="O58" s="1036" t="n"/>
      <c r="P58" s="1036" t="n"/>
      <c r="Q58" s="1036" t="n"/>
      <c r="R58" s="1036" t="n"/>
      <c r="S58" s="1036" t="n"/>
      <c r="T58" s="1036" t="n"/>
      <c r="U58" s="1036" t="n"/>
      <c r="V58" s="1036" t="n"/>
      <c r="W58" s="1039">
        <f>G58+L58+Q58+V58</f>
        <v/>
      </c>
      <c r="X58" s="1036" t="n"/>
    </row>
    <row r="59" hidden="1" outlineLevel="2" customFormat="1" s="202">
      <c r="B59" s="203" t="inlineStr">
        <is>
          <t>Inventory E&amp;O + write off</t>
        </is>
      </c>
      <c r="C59" s="969" t="inlineStr">
        <is>
          <t>Audrey</t>
        </is>
      </c>
      <c r="E59" s="973" t="n"/>
      <c r="F59" s="971">
        <f>F16</f>
        <v/>
      </c>
      <c r="G59" s="977">
        <f>SUM(E59:F59)</f>
        <v/>
      </c>
      <c r="H59" s="973" t="n"/>
      <c r="I59" s="974" t="n"/>
      <c r="J59" s="974" t="n"/>
      <c r="K59" s="974" t="n"/>
      <c r="L59" s="975" t="n"/>
      <c r="M59" s="976" t="n"/>
      <c r="N59" s="976" t="n"/>
      <c r="O59" s="976" t="n"/>
      <c r="P59" s="976" t="n"/>
      <c r="Q59" s="977" t="n"/>
      <c r="R59" s="976" t="n"/>
      <c r="S59" s="976" t="n"/>
      <c r="T59" s="976" t="n"/>
      <c r="U59" s="976" t="n"/>
      <c r="V59" s="977" t="n"/>
      <c r="W59" s="1010">
        <f>G59+L59+Q59+V59</f>
        <v/>
      </c>
      <c r="X59" s="962" t="n"/>
      <c r="Y59" s="218" t="n"/>
    </row>
    <row r="60" hidden="1" outlineLevel="2" customFormat="1" s="202">
      <c r="B60" s="394" t="inlineStr">
        <is>
          <t>Inventory write off - Buy back of DokiPal units</t>
        </is>
      </c>
      <c r="C60" s="969" t="n"/>
      <c r="E60" s="970" t="n"/>
      <c r="F60" s="980">
        <f>F17</f>
        <v/>
      </c>
      <c r="G60" s="972">
        <f>SUM(E60:F60)</f>
        <v/>
      </c>
      <c r="H60" s="973" t="n"/>
      <c r="I60" s="974" t="n"/>
      <c r="J60" s="974" t="n"/>
      <c r="K60" s="974" t="n"/>
      <c r="L60" s="975" t="n"/>
      <c r="M60" s="976" t="n"/>
      <c r="N60" s="976" t="n"/>
      <c r="O60" s="976" t="n"/>
      <c r="P60" s="976" t="n"/>
      <c r="Q60" s="977" t="n"/>
      <c r="R60" s="976" t="n"/>
      <c r="S60" s="976" t="n"/>
      <c r="T60" s="976" t="n"/>
      <c r="U60" s="976" t="n"/>
      <c r="V60" s="977" t="n"/>
      <c r="W60" s="978">
        <f>G60+L60+Q60+V60</f>
        <v/>
      </c>
      <c r="X60" s="979" t="n"/>
      <c r="Y60" s="218" t="n"/>
    </row>
    <row r="61" hidden="1" outlineLevel="2" customFormat="1" s="202">
      <c r="B61" s="203" t="n"/>
      <c r="C61" s="969" t="n"/>
      <c r="E61" s="981" t="n"/>
      <c r="F61" s="982" t="n"/>
      <c r="G61" s="983" t="n"/>
      <c r="H61" s="981" t="n"/>
      <c r="I61" s="962" t="n"/>
      <c r="J61" s="962" t="n"/>
      <c r="K61" s="962" t="n"/>
      <c r="L61" s="984" t="n"/>
      <c r="M61" s="969" t="n"/>
      <c r="N61" s="969" t="n"/>
      <c r="O61" s="969" t="n"/>
      <c r="P61" s="969" t="n"/>
      <c r="Q61" s="983" t="n"/>
      <c r="R61" s="969" t="n"/>
      <c r="S61" s="969" t="n"/>
      <c r="T61" s="969" t="n"/>
      <c r="U61" s="969" t="n"/>
      <c r="V61" s="983" t="n"/>
      <c r="W61" s="985" t="n"/>
      <c r="X61" s="962" t="n"/>
      <c r="Y61" s="218" t="n"/>
    </row>
    <row r="62" hidden="1" outlineLevel="2" customFormat="1" s="202">
      <c r="B62" s="203" t="inlineStr">
        <is>
          <t>Operating costs:</t>
        </is>
      </c>
      <c r="C62" s="969" t="n"/>
      <c r="E62" s="981" t="n"/>
      <c r="F62" s="982" t="n"/>
      <c r="G62" s="983" t="n"/>
      <c r="H62" s="981" t="n"/>
      <c r="I62" s="962" t="n"/>
      <c r="J62" s="962" t="n"/>
      <c r="K62" s="962" t="n"/>
      <c r="L62" s="984" t="n"/>
      <c r="M62" s="969" t="n"/>
      <c r="N62" s="969" t="n"/>
      <c r="O62" s="969" t="n"/>
      <c r="P62" s="969" t="n"/>
      <c r="Q62" s="983" t="n"/>
      <c r="R62" s="969" t="n"/>
      <c r="S62" s="969" t="n"/>
      <c r="T62" s="969" t="n"/>
      <c r="U62" s="969" t="n"/>
      <c r="V62" s="983" t="n"/>
      <c r="W62" s="985" t="n"/>
      <c r="X62" s="962" t="n"/>
      <c r="Y62" s="218" t="n"/>
    </row>
    <row r="63" hidden="1" outlineLevel="3" collapsed="1" ht="15" customFormat="1" customHeight="1" s="218">
      <c r="B63" s="234" t="inlineStr">
        <is>
          <t>Gross Wages</t>
        </is>
      </c>
      <c r="C63" s="1024" t="n"/>
      <c r="D63" s="1025" t="n"/>
      <c r="E63" s="1027">
        <f>E22+E48</f>
        <v/>
      </c>
      <c r="F63" s="1027">
        <f>F22+F48</f>
        <v/>
      </c>
      <c r="G63" s="988">
        <f>G22+G48</f>
        <v/>
      </c>
      <c r="H63" s="1027">
        <f>H22+H48</f>
        <v/>
      </c>
      <c r="I63" s="1027">
        <f>I22+I48</f>
        <v/>
      </c>
      <c r="J63" s="1027">
        <f>J22+J48</f>
        <v/>
      </c>
      <c r="K63" s="1027">
        <f>K22+K48</f>
        <v/>
      </c>
      <c r="L63" s="990">
        <f>L22+L48</f>
        <v/>
      </c>
      <c r="M63" s="1027">
        <f>M22+M48</f>
        <v/>
      </c>
      <c r="N63" s="1027">
        <f>N22+N48</f>
        <v/>
      </c>
      <c r="O63" s="1027">
        <f>O22+O48</f>
        <v/>
      </c>
      <c r="P63" s="1027">
        <f>P22+P48</f>
        <v/>
      </c>
      <c r="Q63" s="988">
        <f>Q22+Q48</f>
        <v/>
      </c>
      <c r="R63" s="1027">
        <f>R22+R48</f>
        <v/>
      </c>
      <c r="S63" s="1027">
        <f>S22+S48</f>
        <v/>
      </c>
      <c r="T63" s="1027">
        <f>T22+T48</f>
        <v/>
      </c>
      <c r="U63" s="1027">
        <f>U22+U48</f>
        <v/>
      </c>
      <c r="V63" s="988">
        <f>V22+V48</f>
        <v/>
      </c>
      <c r="W63" s="991">
        <f>W22+W48</f>
        <v/>
      </c>
      <c r="X63" s="979" t="n"/>
      <c r="Y63" s="780" t="n"/>
    </row>
    <row r="64" hidden="1" outlineLevel="3" customFormat="1" s="218">
      <c r="B64" s="234" t="inlineStr">
        <is>
          <t>Bonus</t>
        </is>
      </c>
      <c r="C64" s="1024" t="n"/>
      <c r="D64" s="1025" t="n"/>
      <c r="E64" s="1027">
        <f>E24+E50</f>
        <v/>
      </c>
      <c r="F64" s="1027">
        <f>F24+F50</f>
        <v/>
      </c>
      <c r="G64" s="988">
        <f>G24+G50</f>
        <v/>
      </c>
      <c r="H64" s="1027">
        <f>H24+H50</f>
        <v/>
      </c>
      <c r="I64" s="1027">
        <f>I24+I50</f>
        <v/>
      </c>
      <c r="J64" s="1027">
        <f>J24+J50</f>
        <v/>
      </c>
      <c r="K64" s="1027">
        <f>K24+K50</f>
        <v/>
      </c>
      <c r="L64" s="990">
        <f>L24+L50</f>
        <v/>
      </c>
      <c r="M64" s="1027">
        <f>M24+M50</f>
        <v/>
      </c>
      <c r="N64" s="1027">
        <f>N24+N50</f>
        <v/>
      </c>
      <c r="O64" s="1027">
        <f>O24+O50</f>
        <v/>
      </c>
      <c r="P64" s="1027">
        <f>P24+P50</f>
        <v/>
      </c>
      <c r="Q64" s="988">
        <f>Q24+Q50</f>
        <v/>
      </c>
      <c r="R64" s="1027">
        <f>R24+R50</f>
        <v/>
      </c>
      <c r="S64" s="1027">
        <f>S24+S50</f>
        <v/>
      </c>
      <c r="T64" s="1027">
        <f>T24+T50</f>
        <v/>
      </c>
      <c r="U64" s="1027">
        <f>U24+U50</f>
        <v/>
      </c>
      <c r="V64" s="988">
        <f>V24+V50</f>
        <v/>
      </c>
      <c r="W64" s="991">
        <f>W24+W50</f>
        <v/>
      </c>
      <c r="X64" s="979" t="n"/>
      <c r="Y64" s="780" t="n"/>
    </row>
    <row r="65" hidden="1" outlineLevel="3" customFormat="1" s="218">
      <c r="B65" s="234" t="inlineStr">
        <is>
          <t>Fringe</t>
        </is>
      </c>
      <c r="C65" s="1024" t="n"/>
      <c r="D65" s="1025" t="n"/>
      <c r="E65" s="989">
        <f>E26+E52</f>
        <v/>
      </c>
      <c r="F65" s="989">
        <f>F26+F52</f>
        <v/>
      </c>
      <c r="G65" s="988">
        <f>G26+G52</f>
        <v/>
      </c>
      <c r="H65" s="989">
        <f>H26+H52</f>
        <v/>
      </c>
      <c r="I65" s="989">
        <f>I26+I52</f>
        <v/>
      </c>
      <c r="J65" s="989">
        <f>J26+J52</f>
        <v/>
      </c>
      <c r="K65" s="989">
        <f>K26+K52</f>
        <v/>
      </c>
      <c r="L65" s="990">
        <f>L26+L52</f>
        <v/>
      </c>
      <c r="M65" s="989">
        <f>M26+M52</f>
        <v/>
      </c>
      <c r="N65" s="989">
        <f>N26+N52</f>
        <v/>
      </c>
      <c r="O65" s="989">
        <f>O26+O52</f>
        <v/>
      </c>
      <c r="P65" s="989">
        <f>P26+P52</f>
        <v/>
      </c>
      <c r="Q65" s="988">
        <f>Q26+Q52</f>
        <v/>
      </c>
      <c r="R65" s="989">
        <f>R26+R52</f>
        <v/>
      </c>
      <c r="S65" s="989">
        <f>S26+S52</f>
        <v/>
      </c>
      <c r="T65" s="989">
        <f>T26+T52</f>
        <v/>
      </c>
      <c r="U65" s="989">
        <f>U26+U52</f>
        <v/>
      </c>
      <c r="V65" s="988">
        <f>V26+V52</f>
        <v/>
      </c>
      <c r="W65" s="991">
        <f>W26+W52</f>
        <v/>
      </c>
      <c r="X65" s="979" t="n"/>
      <c r="Y65" s="780" t="n"/>
    </row>
    <row r="66" hidden="1" outlineLevel="3" customFormat="1" s="218">
      <c r="B66" s="234" t="inlineStr">
        <is>
          <t>Retention</t>
        </is>
      </c>
      <c r="C66" s="1024" t="n"/>
      <c r="D66" s="1025" t="n"/>
      <c r="E66" s="973">
        <f>E27+E53</f>
        <v/>
      </c>
      <c r="F66" s="1009">
        <f>F27+F53</f>
        <v/>
      </c>
      <c r="G66" s="977">
        <f>G27+G53</f>
        <v/>
      </c>
      <c r="H66" s="970">
        <f>H27+H53</f>
        <v/>
      </c>
      <c r="I66" s="976">
        <f>I27+I53</f>
        <v/>
      </c>
      <c r="J66" s="976">
        <f>J27+J53</f>
        <v/>
      </c>
      <c r="K66" s="976">
        <f>K27+K53</f>
        <v/>
      </c>
      <c r="L66" s="975">
        <f>L27+L53</f>
        <v/>
      </c>
      <c r="M66" s="976">
        <f>M27+M53</f>
        <v/>
      </c>
      <c r="N66" s="976">
        <f>N27+N53</f>
        <v/>
      </c>
      <c r="O66" s="976">
        <f>O27+O53</f>
        <v/>
      </c>
      <c r="P66" s="976">
        <f>P27+P53</f>
        <v/>
      </c>
      <c r="Q66" s="977">
        <f>Q27+Q53</f>
        <v/>
      </c>
      <c r="R66" s="976">
        <f>R27+R53</f>
        <v/>
      </c>
      <c r="S66" s="976">
        <f>S27+S53</f>
        <v/>
      </c>
      <c r="T66" s="976">
        <f>T27+T53</f>
        <v/>
      </c>
      <c r="U66" s="976">
        <f>U27+U53</f>
        <v/>
      </c>
      <c r="V66" s="977">
        <f>V27+V53</f>
        <v/>
      </c>
      <c r="W66" s="1010">
        <f>W27+W53</f>
        <v/>
      </c>
      <c r="X66" s="979" t="n"/>
      <c r="Y66" s="780" t="n"/>
      <c r="Z66" s="780" t="n"/>
      <c r="AA66" s="780" t="n"/>
      <c r="AB66" s="780" t="n"/>
      <c r="AC66" s="780" t="n"/>
      <c r="AD66" s="780" t="n"/>
      <c r="AE66" s="780" t="n"/>
      <c r="AF66" s="780" t="n"/>
      <c r="AG66" s="780" t="n"/>
      <c r="AH66" s="780" t="n"/>
    </row>
    <row r="67" hidden="1" outlineLevel="3" customFormat="1" s="218">
      <c r="B67" s="234" t="inlineStr">
        <is>
          <t>Severance</t>
        </is>
      </c>
      <c r="C67" s="1024" t="n"/>
      <c r="D67" s="1025" t="n"/>
      <c r="E67" s="973">
        <f>E28+E54</f>
        <v/>
      </c>
      <c r="F67" s="1009">
        <f>F28+F54</f>
        <v/>
      </c>
      <c r="G67" s="977">
        <f>G28+G54</f>
        <v/>
      </c>
      <c r="H67" s="970">
        <f>H28+H54</f>
        <v/>
      </c>
      <c r="I67" s="976">
        <f>I28+I54</f>
        <v/>
      </c>
      <c r="J67" s="976">
        <f>J28+J54</f>
        <v/>
      </c>
      <c r="K67" s="976">
        <f>K28+K54</f>
        <v/>
      </c>
      <c r="L67" s="975">
        <f>L28+L54</f>
        <v/>
      </c>
      <c r="M67" s="976">
        <f>M28+M54</f>
        <v/>
      </c>
      <c r="N67" s="976">
        <f>N28+N54</f>
        <v/>
      </c>
      <c r="O67" s="976">
        <f>O28+O54</f>
        <v/>
      </c>
      <c r="P67" s="976">
        <f>P28+P54</f>
        <v/>
      </c>
      <c r="Q67" s="977">
        <f>Q28+Q54</f>
        <v/>
      </c>
      <c r="R67" s="976">
        <f>R28+R54</f>
        <v/>
      </c>
      <c r="S67" s="976">
        <f>S28+S54</f>
        <v/>
      </c>
      <c r="T67" s="976">
        <f>T28+T54</f>
        <v/>
      </c>
      <c r="U67" s="976">
        <f>U28+U54</f>
        <v/>
      </c>
      <c r="V67" s="977">
        <f>V28+V54</f>
        <v/>
      </c>
      <c r="W67" s="1010">
        <f>W28+W54</f>
        <v/>
      </c>
      <c r="X67" s="979" t="n"/>
      <c r="Y67" s="780" t="n"/>
      <c r="Z67" s="780" t="n"/>
      <c r="AA67" s="780" t="n"/>
      <c r="AB67" s="780" t="n"/>
      <c r="AC67" s="780" t="n"/>
      <c r="AD67" s="780" t="n"/>
      <c r="AE67" s="780" t="n"/>
      <c r="AF67" s="780" t="n"/>
      <c r="AG67" s="780" t="n"/>
      <c r="AH67" s="780" t="n"/>
    </row>
    <row r="68" hidden="1" outlineLevel="3" customFormat="1" s="218">
      <c r="B68" s="234" t="inlineStr">
        <is>
          <t>Recruiting cost</t>
        </is>
      </c>
      <c r="C68" s="1024" t="n"/>
      <c r="D68" s="1025" t="n"/>
      <c r="E68" s="973">
        <f>E53</f>
        <v/>
      </c>
      <c r="F68" s="1009">
        <f>F53</f>
        <v/>
      </c>
      <c r="G68" s="977">
        <f>SUM(E68:F68)</f>
        <v/>
      </c>
      <c r="H68" s="970">
        <f>H53</f>
        <v/>
      </c>
      <c r="I68" s="976">
        <f>I53</f>
        <v/>
      </c>
      <c r="J68" s="976">
        <f>J53</f>
        <v/>
      </c>
      <c r="K68" s="976">
        <f>K53</f>
        <v/>
      </c>
      <c r="L68" s="975">
        <f>SUM(H68:K68)</f>
        <v/>
      </c>
      <c r="M68" s="976">
        <f>M53</f>
        <v/>
      </c>
      <c r="N68" s="976">
        <f>N53</f>
        <v/>
      </c>
      <c r="O68" s="976">
        <f>O53</f>
        <v/>
      </c>
      <c r="P68" s="976">
        <f>P53</f>
        <v/>
      </c>
      <c r="Q68" s="977">
        <f>SUM(M68:P68)</f>
        <v/>
      </c>
      <c r="R68" s="976">
        <f>R53</f>
        <v/>
      </c>
      <c r="S68" s="976">
        <f>S53</f>
        <v/>
      </c>
      <c r="T68" s="976">
        <f>T53</f>
        <v/>
      </c>
      <c r="U68" s="976">
        <f>U53</f>
        <v/>
      </c>
      <c r="V68" s="977">
        <f>SUM(R68:U68)</f>
        <v/>
      </c>
      <c r="W68" s="1010">
        <f>G68+L68+Q68+V68</f>
        <v/>
      </c>
      <c r="X68" s="979" t="n"/>
      <c r="Y68" s="293" t="inlineStr">
        <is>
          <t>Per Ryan Krenms, add 2mths of average salary for this</t>
        </is>
      </c>
      <c r="Z68" s="780" t="n"/>
      <c r="AA68" s="780" t="n"/>
      <c r="AB68" s="780" t="n"/>
      <c r="AC68" s="780" t="n"/>
      <c r="AD68" s="780" t="n"/>
      <c r="AE68" s="780" t="n"/>
      <c r="AF68" s="780" t="n"/>
      <c r="AG68" s="780" t="n"/>
      <c r="AH68" s="780" t="n"/>
    </row>
    <row r="69" hidden="1" outlineLevel="2" customFormat="1" s="218">
      <c r="B69" s="280" t="inlineStr">
        <is>
          <t>HC Related costs</t>
        </is>
      </c>
      <c r="C69" s="1024" t="n"/>
      <c r="D69" s="1025" t="n"/>
      <c r="E69" s="1034">
        <f>E29+E54</f>
        <v/>
      </c>
      <c r="F69" s="1034">
        <f>F29+F54</f>
        <v/>
      </c>
      <c r="G69" s="983">
        <f>SUM(E69:F69)</f>
        <v/>
      </c>
      <c r="H69" s="1034">
        <f>H29+H54</f>
        <v/>
      </c>
      <c r="I69" s="1034">
        <f>I29+I54</f>
        <v/>
      </c>
      <c r="J69" s="1034">
        <f>J29+J54</f>
        <v/>
      </c>
      <c r="K69" s="1034">
        <f>K29+K54</f>
        <v/>
      </c>
      <c r="L69" s="984">
        <f>SUM(H69:K69)</f>
        <v/>
      </c>
      <c r="M69" s="1034">
        <f>M29+M54</f>
        <v/>
      </c>
      <c r="N69" s="1034">
        <f>N29+N54</f>
        <v/>
      </c>
      <c r="O69" s="1034">
        <f>O29+O54</f>
        <v/>
      </c>
      <c r="P69" s="1034">
        <f>P29+P54</f>
        <v/>
      </c>
      <c r="Q69" s="983">
        <f>SUM(M69:P69)</f>
        <v/>
      </c>
      <c r="R69" s="1034">
        <f>R29+R54</f>
        <v/>
      </c>
      <c r="S69" s="1034">
        <f>S29+S54</f>
        <v/>
      </c>
      <c r="T69" s="1034">
        <f>T29+T54</f>
        <v/>
      </c>
      <c r="U69" s="1034">
        <f>U29+U54</f>
        <v/>
      </c>
      <c r="V69" s="983">
        <f>SUM(R69:U69)</f>
        <v/>
      </c>
      <c r="W69" s="985">
        <f>G69+L69+Q69+V69</f>
        <v/>
      </c>
      <c r="X69" s="962" t="n"/>
      <c r="Y69" s="246" t="n"/>
      <c r="Z69" s="780" t="n"/>
      <c r="AA69" s="780" t="n"/>
      <c r="AB69" s="780" t="n"/>
      <c r="AC69" s="780" t="n"/>
      <c r="AD69" s="780" t="n"/>
      <c r="AE69" s="780" t="n"/>
      <c r="AF69" s="780" t="n"/>
      <c r="AG69" s="780" t="n"/>
      <c r="AH69" s="780" t="n"/>
    </row>
    <row r="70" hidden="1" outlineLevel="2" customFormat="1" s="218">
      <c r="B70" s="280" t="inlineStr">
        <is>
          <t>T&amp;E</t>
        </is>
      </c>
      <c r="C70" s="1033" t="n"/>
      <c r="D70" s="1025" t="n"/>
      <c r="E70" s="1034">
        <f>E31+E55</f>
        <v/>
      </c>
      <c r="F70" s="1034">
        <f>F31+F55</f>
        <v/>
      </c>
      <c r="G70" s="983">
        <f>SUM(E70:F70)</f>
        <v/>
      </c>
      <c r="H70" s="1034">
        <f>H31+H55</f>
        <v/>
      </c>
      <c r="I70" s="1034">
        <f>I31+I55</f>
        <v/>
      </c>
      <c r="J70" s="1034">
        <f>J31+J55</f>
        <v/>
      </c>
      <c r="K70" s="1034">
        <f>K31+K55</f>
        <v/>
      </c>
      <c r="L70" s="984">
        <f>SUM(H70:K70)</f>
        <v/>
      </c>
      <c r="M70" s="1034">
        <f>M31+M55</f>
        <v/>
      </c>
      <c r="N70" s="1034">
        <f>N31+N55</f>
        <v/>
      </c>
      <c r="O70" s="1034">
        <f>O31+O55</f>
        <v/>
      </c>
      <c r="P70" s="1034">
        <f>P31+P55</f>
        <v/>
      </c>
      <c r="Q70" s="983">
        <f>SUM(M70:P70)</f>
        <v/>
      </c>
      <c r="R70" s="1034">
        <f>R31+R55</f>
        <v/>
      </c>
      <c r="S70" s="1034">
        <f>S31+S55</f>
        <v/>
      </c>
      <c r="T70" s="1034">
        <f>T31+T55</f>
        <v/>
      </c>
      <c r="U70" s="1034">
        <f>U31+U55</f>
        <v/>
      </c>
      <c r="V70" s="983">
        <f>SUM(R70:U70)</f>
        <v/>
      </c>
      <c r="W70" s="985">
        <f>G70+L70+Q70+V70</f>
        <v/>
      </c>
      <c r="X70" s="962" t="n"/>
      <c r="Y70" s="246" t="n"/>
    </row>
    <row r="71" hidden="1" outlineLevel="2" s="802">
      <c r="B71" s="280" t="inlineStr">
        <is>
          <t xml:space="preserve">Facility and Office Exp </t>
        </is>
      </c>
      <c r="C71" s="305" t="n"/>
      <c r="D71" s="303" t="n"/>
      <c r="E71" s="969">
        <f>E32+E56</f>
        <v/>
      </c>
      <c r="F71" s="969">
        <f>F32+F56</f>
        <v/>
      </c>
      <c r="G71" s="983">
        <f>SUM(E71:F71)</f>
        <v/>
      </c>
      <c r="H71" s="969">
        <f>H32+H56</f>
        <v/>
      </c>
      <c r="I71" s="969">
        <f>I32+I56</f>
        <v/>
      </c>
      <c r="J71" s="969">
        <f>J32+J56</f>
        <v/>
      </c>
      <c r="K71" s="969">
        <f>K32+K56</f>
        <v/>
      </c>
      <c r="L71" s="984">
        <f>SUM(H71:K71)</f>
        <v/>
      </c>
      <c r="M71" s="969">
        <f>M32+M56</f>
        <v/>
      </c>
      <c r="N71" s="969">
        <f>N32+N56</f>
        <v/>
      </c>
      <c r="O71" s="969">
        <f>O32+O56</f>
        <v/>
      </c>
      <c r="P71" s="969">
        <f>P32+P56</f>
        <v/>
      </c>
      <c r="Q71" s="983">
        <f>SUM(M71:P71)</f>
        <v/>
      </c>
      <c r="R71" s="969">
        <f>R32+R56</f>
        <v/>
      </c>
      <c r="S71" s="969">
        <f>S32+S56</f>
        <v/>
      </c>
      <c r="T71" s="969">
        <f>T32+T56</f>
        <v/>
      </c>
      <c r="U71" s="969">
        <f>U32+U56</f>
        <v/>
      </c>
      <c r="V71" s="983">
        <f>SUM(R71:U71)</f>
        <v/>
      </c>
      <c r="W71" s="985">
        <f>G71+L71+Q71+V71</f>
        <v/>
      </c>
      <c r="X71" s="962" t="n"/>
    </row>
    <row r="72" hidden="1" outlineLevel="2" s="802">
      <c r="B72" s="203" t="inlineStr">
        <is>
          <t>IT Costs - security</t>
        </is>
      </c>
      <c r="C72" s="305" t="n"/>
      <c r="D72" s="303" t="n"/>
      <c r="E72" s="976">
        <f>E33</f>
        <v/>
      </c>
      <c r="F72" s="976">
        <f>F33</f>
        <v/>
      </c>
      <c r="G72" s="977">
        <f>G33</f>
        <v/>
      </c>
      <c r="H72" s="976">
        <f>H33</f>
        <v/>
      </c>
      <c r="I72" s="976">
        <f>I33</f>
        <v/>
      </c>
      <c r="J72" s="976">
        <f>J33</f>
        <v/>
      </c>
      <c r="K72" s="976">
        <f>K33</f>
        <v/>
      </c>
      <c r="L72" s="975">
        <f>L33</f>
        <v/>
      </c>
      <c r="M72" s="976">
        <f>M33</f>
        <v/>
      </c>
      <c r="N72" s="976">
        <f>N33</f>
        <v/>
      </c>
      <c r="O72" s="976">
        <f>O33</f>
        <v/>
      </c>
      <c r="P72" s="976">
        <f>P33</f>
        <v/>
      </c>
      <c r="Q72" s="977">
        <f>Q33</f>
        <v/>
      </c>
      <c r="R72" s="976">
        <f>R33</f>
        <v/>
      </c>
      <c r="S72" s="976">
        <f>S33</f>
        <v/>
      </c>
      <c r="T72" s="976">
        <f>T33</f>
        <v/>
      </c>
      <c r="U72" s="976">
        <f>U33</f>
        <v/>
      </c>
      <c r="V72" s="977">
        <f>V33</f>
        <v/>
      </c>
      <c r="W72" s="1010">
        <f>W33</f>
        <v/>
      </c>
      <c r="X72" s="962" t="n"/>
    </row>
    <row r="73" hidden="1" outlineLevel="2" s="802">
      <c r="B73" s="203" t="inlineStr">
        <is>
          <t>IT Costs - integration</t>
        </is>
      </c>
      <c r="C73" s="305" t="n"/>
      <c r="D73" s="303" t="n"/>
      <c r="E73" s="980">
        <f>E34</f>
        <v/>
      </c>
      <c r="F73" s="980">
        <f>F34</f>
        <v/>
      </c>
      <c r="G73" s="977">
        <f>G34</f>
        <v/>
      </c>
      <c r="H73" s="980">
        <f>H34</f>
        <v/>
      </c>
      <c r="I73" s="980">
        <f>I34</f>
        <v/>
      </c>
      <c r="J73" s="980">
        <f>J34</f>
        <v/>
      </c>
      <c r="K73" s="980">
        <f>K34</f>
        <v/>
      </c>
      <c r="L73" s="975">
        <f>SUM(H73:K73)</f>
        <v/>
      </c>
      <c r="M73" s="980">
        <f>M34</f>
        <v/>
      </c>
      <c r="N73" s="980">
        <f>N34</f>
        <v/>
      </c>
      <c r="O73" s="980">
        <f>O34</f>
        <v/>
      </c>
      <c r="P73" s="980">
        <f>P34</f>
        <v/>
      </c>
      <c r="Q73" s="977">
        <f>SUM(M73:P73)</f>
        <v/>
      </c>
      <c r="R73" s="980">
        <f>R34</f>
        <v/>
      </c>
      <c r="S73" s="980">
        <f>S34</f>
        <v/>
      </c>
      <c r="T73" s="980">
        <f>T34</f>
        <v/>
      </c>
      <c r="U73" s="980">
        <f>U34</f>
        <v/>
      </c>
      <c r="V73" s="977">
        <f>SUM(R73:U73)</f>
        <v/>
      </c>
      <c r="W73" s="1010">
        <f>W34</f>
        <v/>
      </c>
      <c r="X73" s="962" t="n"/>
    </row>
    <row r="74" hidden="1" outlineLevel="2" customFormat="1" s="202">
      <c r="B74" s="203" t="inlineStr">
        <is>
          <t>IT Costs - ongoing</t>
        </is>
      </c>
      <c r="C74" s="969" t="inlineStr">
        <is>
          <t>IT team</t>
        </is>
      </c>
      <c r="E74" s="1034">
        <f>E35</f>
        <v/>
      </c>
      <c r="F74" s="1034">
        <f>F35</f>
        <v/>
      </c>
      <c r="G74" s="983">
        <f>G35</f>
        <v/>
      </c>
      <c r="H74" s="1034">
        <f>H35</f>
        <v/>
      </c>
      <c r="I74" s="1034">
        <f>I35</f>
        <v/>
      </c>
      <c r="J74" s="1034">
        <f>J35</f>
        <v/>
      </c>
      <c r="K74" s="1034">
        <f>K35</f>
        <v/>
      </c>
      <c r="L74" s="984">
        <f>SUM(H74:K74)</f>
        <v/>
      </c>
      <c r="M74" s="1034">
        <f>M35</f>
        <v/>
      </c>
      <c r="N74" s="1034">
        <f>N35</f>
        <v/>
      </c>
      <c r="O74" s="1034">
        <f>O35</f>
        <v/>
      </c>
      <c r="P74" s="1034">
        <f>P35</f>
        <v/>
      </c>
      <c r="Q74" s="983">
        <f>SUM(M74:P74)</f>
        <v/>
      </c>
      <c r="R74" s="1034">
        <f>R35</f>
        <v/>
      </c>
      <c r="S74" s="1034">
        <f>S35</f>
        <v/>
      </c>
      <c r="T74" s="1034">
        <f>T35</f>
        <v/>
      </c>
      <c r="U74" s="1034">
        <f>U35</f>
        <v/>
      </c>
      <c r="V74" s="983">
        <f>SUM(R74:U74)</f>
        <v/>
      </c>
      <c r="W74" s="985">
        <f>W35</f>
        <v/>
      </c>
      <c r="X74" s="962" t="n"/>
      <c r="Y74" s="216" t="n"/>
      <c r="Z74" s="303" t="n"/>
      <c r="AA74" s="303" t="n"/>
    </row>
    <row r="75" hidden="1" outlineLevel="2" customFormat="1" s="202">
      <c r="B75" s="203" t="inlineStr">
        <is>
          <t>Valuation reviews</t>
        </is>
      </c>
      <c r="C75" s="969" t="inlineStr">
        <is>
          <t>Heather</t>
        </is>
      </c>
      <c r="E75" s="976">
        <f>E36</f>
        <v/>
      </c>
      <c r="F75" s="976">
        <f>F36</f>
        <v/>
      </c>
      <c r="G75" s="977">
        <f>G36</f>
        <v/>
      </c>
      <c r="H75" s="976">
        <f>H36</f>
        <v/>
      </c>
      <c r="I75" s="976">
        <f>I36</f>
        <v/>
      </c>
      <c r="J75" s="976">
        <f>J36</f>
        <v/>
      </c>
      <c r="K75" s="976">
        <f>K36</f>
        <v/>
      </c>
      <c r="L75" s="975">
        <f>SUM(H75:K75)</f>
        <v/>
      </c>
      <c r="M75" s="976">
        <f>M36</f>
        <v/>
      </c>
      <c r="N75" s="976">
        <f>N36</f>
        <v/>
      </c>
      <c r="O75" s="976">
        <f>O36</f>
        <v/>
      </c>
      <c r="P75" s="976">
        <f>P36</f>
        <v/>
      </c>
      <c r="Q75" s="977">
        <f>SUM(M75:P75)</f>
        <v/>
      </c>
      <c r="R75" s="976">
        <f>R36</f>
        <v/>
      </c>
      <c r="S75" s="976">
        <f>S36</f>
        <v/>
      </c>
      <c r="T75" s="976">
        <f>T36</f>
        <v/>
      </c>
      <c r="U75" s="976">
        <f>U36</f>
        <v/>
      </c>
      <c r="V75" s="977">
        <f>SUM(R75:U75)</f>
        <v/>
      </c>
      <c r="W75" s="1010">
        <f>W36</f>
        <v/>
      </c>
      <c r="X75" s="962" t="n"/>
      <c r="Y75" s="218" t="n"/>
    </row>
    <row r="76" hidden="1" outlineLevel="2" customFormat="1" s="202">
      <c r="B76" s="203" t="inlineStr">
        <is>
          <t>Legal/Deal Expenses</t>
        </is>
      </c>
      <c r="C76" s="969" t="inlineStr">
        <is>
          <t>Nisha</t>
        </is>
      </c>
      <c r="E76" s="980">
        <f>E37</f>
        <v/>
      </c>
      <c r="F76" s="980">
        <f>F37</f>
        <v/>
      </c>
      <c r="G76" s="977">
        <f>G37</f>
        <v/>
      </c>
      <c r="H76" s="980">
        <f>H37</f>
        <v/>
      </c>
      <c r="I76" s="980">
        <f>I37</f>
        <v/>
      </c>
      <c r="J76" s="980">
        <f>J37</f>
        <v/>
      </c>
      <c r="K76" s="980">
        <f>K37</f>
        <v/>
      </c>
      <c r="L76" s="975">
        <f>SUM(H76:K76)</f>
        <v/>
      </c>
      <c r="M76" s="980">
        <f>M37</f>
        <v/>
      </c>
      <c r="N76" s="980">
        <f>N37</f>
        <v/>
      </c>
      <c r="O76" s="980">
        <f>O37</f>
        <v/>
      </c>
      <c r="P76" s="980">
        <f>P37</f>
        <v/>
      </c>
      <c r="Q76" s="977">
        <f>SUM(M76:P76)</f>
        <v/>
      </c>
      <c r="R76" s="980">
        <f>R37</f>
        <v/>
      </c>
      <c r="S76" s="980">
        <f>S37</f>
        <v/>
      </c>
      <c r="T76" s="980">
        <f>T37</f>
        <v/>
      </c>
      <c r="U76" s="980">
        <f>U37</f>
        <v/>
      </c>
      <c r="V76" s="977">
        <f>SUM(R76:U76)</f>
        <v/>
      </c>
      <c r="W76" s="1010">
        <f>W37</f>
        <v/>
      </c>
      <c r="X76" s="962" t="n"/>
      <c r="Y76" s="216" t="n"/>
    </row>
    <row r="77" hidden="1" outlineLevel="2" customFormat="1" s="202">
      <c r="B77" s="203" t="inlineStr">
        <is>
          <t>Engineering non h/c</t>
        </is>
      </c>
      <c r="C77" s="969" t="inlineStr">
        <is>
          <t>Paul Quinn</t>
        </is>
      </c>
      <c r="E77" s="1034">
        <f>E38</f>
        <v/>
      </c>
      <c r="F77" s="1034">
        <f>F38</f>
        <v/>
      </c>
      <c r="G77" s="983">
        <f>G38</f>
        <v/>
      </c>
      <c r="H77" s="1034">
        <f>H38</f>
        <v/>
      </c>
      <c r="I77" s="1034">
        <f>I38</f>
        <v/>
      </c>
      <c r="J77" s="1034">
        <f>J38</f>
        <v/>
      </c>
      <c r="K77" s="1034">
        <f>K38</f>
        <v/>
      </c>
      <c r="L77" s="984">
        <f>SUM(H77:K77)</f>
        <v/>
      </c>
      <c r="M77" s="1034">
        <f>M38</f>
        <v/>
      </c>
      <c r="N77" s="1034">
        <f>N38</f>
        <v/>
      </c>
      <c r="O77" s="1034">
        <f>O38</f>
        <v/>
      </c>
      <c r="P77" s="1034">
        <f>P38</f>
        <v/>
      </c>
      <c r="Q77" s="983">
        <f>SUM(M77:P77)</f>
        <v/>
      </c>
      <c r="R77" s="1034">
        <f>R38</f>
        <v/>
      </c>
      <c r="S77" s="1034">
        <f>S38</f>
        <v/>
      </c>
      <c r="T77" s="1034">
        <f>T38</f>
        <v/>
      </c>
      <c r="U77" s="1034">
        <f>U38</f>
        <v/>
      </c>
      <c r="V77" s="983">
        <f>SUM(R77:U77)</f>
        <v/>
      </c>
      <c r="W77" s="985">
        <f>W38</f>
        <v/>
      </c>
      <c r="X77" s="962" t="n"/>
      <c r="Y77" s="216" t="n"/>
    </row>
    <row r="78" hidden="1" outlineLevel="2" customFormat="1" s="202">
      <c r="B78" s="203" t="inlineStr">
        <is>
          <t>Operations</t>
        </is>
      </c>
      <c r="C78" s="969" t="n"/>
      <c r="E78" s="1034">
        <f>E39</f>
        <v/>
      </c>
      <c r="F78" s="1034">
        <f>F39</f>
        <v/>
      </c>
      <c r="G78" s="1034">
        <f>G39</f>
        <v/>
      </c>
      <c r="H78" s="1034">
        <f>H39</f>
        <v/>
      </c>
      <c r="I78" s="1034">
        <f>I39</f>
        <v/>
      </c>
      <c r="J78" s="1034">
        <f>J39</f>
        <v/>
      </c>
      <c r="K78" s="1034">
        <f>K39</f>
        <v/>
      </c>
      <c r="L78" s="1040">
        <f>L39</f>
        <v/>
      </c>
      <c r="M78" s="1034">
        <f>M39</f>
        <v/>
      </c>
      <c r="N78" s="1034">
        <f>N39</f>
        <v/>
      </c>
      <c r="O78" s="1034">
        <f>O39</f>
        <v/>
      </c>
      <c r="P78" s="1034">
        <f>P39</f>
        <v/>
      </c>
      <c r="Q78" s="1034">
        <f>Q39</f>
        <v/>
      </c>
      <c r="R78" s="1034">
        <f>R39</f>
        <v/>
      </c>
      <c r="S78" s="1034">
        <f>S39</f>
        <v/>
      </c>
      <c r="T78" s="1034">
        <f>T39</f>
        <v/>
      </c>
      <c r="U78" s="1034">
        <f>U39</f>
        <v/>
      </c>
      <c r="V78" s="1034">
        <f>V39</f>
        <v/>
      </c>
      <c r="W78" s="1040">
        <f>W39</f>
        <v/>
      </c>
      <c r="X78" s="1034" t="n"/>
      <c r="Y78" s="216" t="n"/>
    </row>
    <row r="79" hidden="1" outlineLevel="2" customFormat="1" s="202">
      <c r="B79" s="203" t="inlineStr">
        <is>
          <t>Tax</t>
        </is>
      </c>
      <c r="C79" s="969" t="inlineStr">
        <is>
          <t>Anu/Harvey</t>
        </is>
      </c>
      <c r="E79" s="1034">
        <f>E40</f>
        <v/>
      </c>
      <c r="F79" s="1034">
        <f>F40</f>
        <v/>
      </c>
      <c r="G79" s="983">
        <f>G40</f>
        <v/>
      </c>
      <c r="H79" s="1034">
        <f>H40</f>
        <v/>
      </c>
      <c r="I79" s="1034">
        <f>I40</f>
        <v/>
      </c>
      <c r="J79" s="1034">
        <f>J40</f>
        <v/>
      </c>
      <c r="K79" s="1034">
        <f>K40</f>
        <v/>
      </c>
      <c r="L79" s="984">
        <f>SUM(H79:K79)</f>
        <v/>
      </c>
      <c r="M79" s="1034">
        <f>M40</f>
        <v/>
      </c>
      <c r="N79" s="1034">
        <f>N40</f>
        <v/>
      </c>
      <c r="O79" s="1034">
        <f>O40</f>
        <v/>
      </c>
      <c r="P79" s="1034">
        <f>P40</f>
        <v/>
      </c>
      <c r="Q79" s="983">
        <f>SUM(M79:P79)</f>
        <v/>
      </c>
      <c r="R79" s="1034">
        <f>R40</f>
        <v/>
      </c>
      <c r="S79" s="1034">
        <f>S40</f>
        <v/>
      </c>
      <c r="T79" s="1034">
        <f>T40</f>
        <v/>
      </c>
      <c r="U79" s="1034">
        <f>U40</f>
        <v/>
      </c>
      <c r="V79" s="983">
        <f>SUM(R79:U79)</f>
        <v/>
      </c>
      <c r="W79" s="985">
        <f>W40</f>
        <v/>
      </c>
      <c r="X79" s="962" t="n"/>
      <c r="Y79" s="216" t="inlineStr">
        <is>
          <t>Stamp duty cost - 2% of shares of company - would it go to p&amp;l?</t>
        </is>
      </c>
    </row>
    <row r="80" hidden="1" outlineLevel="2" customFormat="1" s="202">
      <c r="B80" s="203" t="inlineStr">
        <is>
          <t>Other</t>
        </is>
      </c>
      <c r="C80" s="969" t="inlineStr">
        <is>
          <t>Nish/Tom</t>
        </is>
      </c>
      <c r="E80" s="969">
        <f>E42</f>
        <v/>
      </c>
      <c r="F80" s="969">
        <f>F42</f>
        <v/>
      </c>
      <c r="G80" s="983">
        <f>G42</f>
        <v/>
      </c>
      <c r="H80" s="969">
        <f>H42</f>
        <v/>
      </c>
      <c r="I80" s="969">
        <f>I42</f>
        <v/>
      </c>
      <c r="J80" s="969">
        <f>J42</f>
        <v/>
      </c>
      <c r="K80" s="969">
        <f>K42</f>
        <v/>
      </c>
      <c r="L80" s="984">
        <f>SUM(H80:K80)</f>
        <v/>
      </c>
      <c r="M80" s="969">
        <f>M42</f>
        <v/>
      </c>
      <c r="N80" s="969">
        <f>N42</f>
        <v/>
      </c>
      <c r="O80" s="969">
        <f>O42</f>
        <v/>
      </c>
      <c r="P80" s="969">
        <f>P42</f>
        <v/>
      </c>
      <c r="Q80" s="983">
        <f>SUM(M80:P80)</f>
        <v/>
      </c>
      <c r="R80" s="969">
        <f>R42</f>
        <v/>
      </c>
      <c r="S80" s="969">
        <f>S42</f>
        <v/>
      </c>
      <c r="T80" s="969">
        <f>T42</f>
        <v/>
      </c>
      <c r="U80" s="969">
        <f>U42</f>
        <v/>
      </c>
      <c r="V80" s="983">
        <f>SUM(R80:U80)</f>
        <v/>
      </c>
      <c r="W80" s="985">
        <f>W42</f>
        <v/>
      </c>
      <c r="X80" s="962" t="n"/>
      <c r="Y80" s="216" t="n"/>
    </row>
    <row r="81" hidden="1" outlineLevel="2" customFormat="1" s="202">
      <c r="B81" s="219" t="inlineStr">
        <is>
          <t>Total Operating costs</t>
        </is>
      </c>
      <c r="C81" s="969" t="n"/>
      <c r="E81" s="1013">
        <f>SUM(E69:E80)</f>
        <v/>
      </c>
      <c r="F81" s="1013">
        <f>SUM(F69:F80)</f>
        <v/>
      </c>
      <c r="G81" s="1013">
        <f>SUM(G69:G80)</f>
        <v/>
      </c>
      <c r="H81" s="1013">
        <f>SUM(H69:H80)</f>
        <v/>
      </c>
      <c r="I81" s="1013">
        <f>SUM(I69:I80)</f>
        <v/>
      </c>
      <c r="J81" s="1013">
        <f>SUM(J69:J80)</f>
        <v/>
      </c>
      <c r="K81" s="1013">
        <f>SUM(K69:K80)</f>
        <v/>
      </c>
      <c r="L81" s="1016">
        <f>SUM(H81:K81)</f>
        <v/>
      </c>
      <c r="M81" s="1013">
        <f>SUM(M69:M80)</f>
        <v/>
      </c>
      <c r="N81" s="1013">
        <f>SUM(N69:N80)</f>
        <v/>
      </c>
      <c r="O81" s="1013">
        <f>SUM(O69:O80)</f>
        <v/>
      </c>
      <c r="P81" s="1013">
        <f>SUM(P69:P80)</f>
        <v/>
      </c>
      <c r="Q81" s="1017">
        <f>SUM(M81:P81)</f>
        <v/>
      </c>
      <c r="R81" s="1013">
        <f>SUM(R69:R80)</f>
        <v/>
      </c>
      <c r="S81" s="1013">
        <f>SUM(S69:S80)</f>
        <v/>
      </c>
      <c r="T81" s="1013">
        <f>SUM(T69:T80)</f>
        <v/>
      </c>
      <c r="U81" s="1013">
        <f>SUM(U69:U80)</f>
        <v/>
      </c>
      <c r="V81" s="1017">
        <f>SUM(R81:U81)</f>
        <v/>
      </c>
      <c r="W81" s="1018">
        <f>SUM(W69:W80)</f>
        <v/>
      </c>
      <c r="X81" s="1013" t="n"/>
      <c r="Y81" s="216" t="n"/>
    </row>
    <row r="82" hidden="1" outlineLevel="1" collapsed="1" s="802">
      <c r="B82" s="299" t="inlineStr">
        <is>
          <t>Total costs (including one off costs)</t>
        </is>
      </c>
      <c r="C82" s="300" t="n"/>
      <c r="D82" s="1041" t="n"/>
      <c r="E82" s="1041">
        <f>+E44+E57</f>
        <v/>
      </c>
      <c r="F82" s="1041">
        <f>+F44+F57</f>
        <v/>
      </c>
      <c r="G82" s="1041">
        <f>+G44+G57</f>
        <v/>
      </c>
      <c r="H82" s="1041">
        <f>+H44+H57</f>
        <v/>
      </c>
      <c r="I82" s="1041">
        <f>+I44+I57</f>
        <v/>
      </c>
      <c r="J82" s="1041">
        <f>+J44+J57</f>
        <v/>
      </c>
      <c r="K82" s="1041">
        <f>+K44+K57</f>
        <v/>
      </c>
      <c r="L82" s="1042">
        <f>+L44+L57</f>
        <v/>
      </c>
      <c r="M82" s="1041">
        <f>+M44+M57</f>
        <v/>
      </c>
      <c r="N82" s="1041">
        <f>+N44+N57</f>
        <v/>
      </c>
      <c r="O82" s="1041">
        <f>+O44+O57</f>
        <v/>
      </c>
      <c r="P82" s="1041">
        <f>+P44+P57</f>
        <v/>
      </c>
      <c r="Q82" s="1041">
        <f>+Q44+Q57</f>
        <v/>
      </c>
      <c r="R82" s="1041">
        <f>+R44+R57</f>
        <v/>
      </c>
      <c r="S82" s="1041">
        <f>+S44+S57</f>
        <v/>
      </c>
      <c r="T82" s="1041">
        <f>+T44+T57</f>
        <v/>
      </c>
      <c r="U82" s="1041">
        <f>+U44+U57</f>
        <v/>
      </c>
      <c r="V82" s="1041">
        <f>+V44+V57</f>
        <v/>
      </c>
      <c r="W82" s="1041">
        <f>+W44+W57</f>
        <v/>
      </c>
      <c r="X82" s="962" t="n"/>
    </row>
    <row r="83" hidden="1" outlineLevel="1" collapsed="1" customFormat="1" s="303">
      <c r="B83" s="304" t="inlineStr">
        <is>
          <t>Check</t>
        </is>
      </c>
      <c r="C83" s="305" t="n"/>
      <c r="D83" s="303" t="n"/>
      <c r="E83" s="1012">
        <f>E82-SUM(E69:E80)-E59-E60</f>
        <v/>
      </c>
      <c r="F83" s="1012">
        <f>F82-SUM(F69:F80)-F59-F60</f>
        <v/>
      </c>
      <c r="G83" s="1012">
        <f>G82-SUM(G69:G80)-G59-G60</f>
        <v/>
      </c>
      <c r="H83" s="1012">
        <f>H82-SUM(H69:H80)-H59-H60</f>
        <v/>
      </c>
      <c r="I83" s="1012">
        <f>I82-SUM(I69:I80)-I59-I60</f>
        <v/>
      </c>
      <c r="J83" s="1012">
        <f>J82-SUM(J69:J80)-J59-J60</f>
        <v/>
      </c>
      <c r="K83" s="1012">
        <f>K82-SUM(K69:K80)-K59-K60</f>
        <v/>
      </c>
      <c r="L83" s="1021">
        <f>L82-SUM(L69:L80)-L59-L60</f>
        <v/>
      </c>
      <c r="M83" s="1012">
        <f>M82-SUM(M69:M80)-M59-M60</f>
        <v/>
      </c>
      <c r="N83" s="1012">
        <f>N82-SUM(N69:N80)-N59-N60</f>
        <v/>
      </c>
      <c r="O83" s="1012">
        <f>O82-SUM(O69:O80)-O59-O60</f>
        <v/>
      </c>
      <c r="P83" s="1012">
        <f>P82-SUM(P69:P80)-P59-P60</f>
        <v/>
      </c>
      <c r="Q83" s="1012">
        <f>Q82-SUM(Q69:Q80)-Q59-Q60</f>
        <v/>
      </c>
      <c r="R83" s="1012">
        <f>R82-SUM(R69:R80)-R59-R60</f>
        <v/>
      </c>
      <c r="S83" s="1012">
        <f>S82-SUM(S69:S80)-S59-S60</f>
        <v/>
      </c>
      <c r="T83" s="1012">
        <f>T82-SUM(T69:T80)-T59-T60</f>
        <v/>
      </c>
      <c r="U83" s="1012">
        <f>U82-SUM(U69:U80)-U59-U60</f>
        <v/>
      </c>
      <c r="V83" s="1012">
        <f>V82-SUM(V69:V80)-V59-V60</f>
        <v/>
      </c>
      <c r="W83" s="1012">
        <f>W82-SUM(W69:W80)-W59-W60</f>
        <v/>
      </c>
      <c r="X83" s="962" t="n"/>
      <c r="Y83" s="216" t="n"/>
    </row>
    <row r="84" collapsed="1" ht="15.75" customHeight="1" s="802" thickBot="1">
      <c r="B84" s="314" t="inlineStr">
        <is>
          <t>Non GAAP run rate costs</t>
        </is>
      </c>
      <c r="C84" s="315" t="n"/>
      <c r="D84" s="316" t="n"/>
      <c r="E84" s="1043">
        <f>(E22+E24+E26+E31+E32+E35+E42+E55+E56+E39+E40+E38+E48+E50+E52+E27+E53)</f>
        <v/>
      </c>
      <c r="F84" s="1043">
        <f>(F22+F24+F26+F31+F32+F35+F42+F55+F56+F39+F40+F38+F48+F50+F52+F27+F53)</f>
        <v/>
      </c>
      <c r="G84" s="1043">
        <f>(G22+G24+G26+G31+G32+G35+G42+G55+G56+G39+G40+G38+G48+G50+G52+G27+G53)</f>
        <v/>
      </c>
      <c r="H84" s="1043">
        <f>(H22+H24+H26+H31+H32+H35+H42+H55+H56+H39+H40+H38+H48+H50+H52+H27+H53)</f>
        <v/>
      </c>
      <c r="I84" s="1043">
        <f>(I22+I24+I26+I31+I32+I35+I42+I55+I56+I39+I40+I38+I48+I50+I52+I27+I53)</f>
        <v/>
      </c>
      <c r="J84" s="1043">
        <f>(J22+J24+J26+J31+J32+J35+J42+J55+J56+J39+J40+J38+J48+J50+J52+J27+J53)</f>
        <v/>
      </c>
      <c r="K84" s="1043">
        <f>(K22+K24+K26+K31+K32+K35+K42+K55+K56+K39+K40+K38+K48+K50+K52+K27+K53)</f>
        <v/>
      </c>
      <c r="L84" s="1044">
        <f>(L22+L24+L26+L31+L32+L35+L42+L55+L56+L39+L40+L38+L48+L50+L52+L27+L53)</f>
        <v/>
      </c>
      <c r="M84" s="1045">
        <f>(M22+M24+M26+M31+M32+M35+M42+M55+M56+M39+M40+M38+M48+M50+M52+M27+M53)</f>
        <v/>
      </c>
      <c r="N84" s="1045">
        <f>(N22+N24+N26+N31+N32+N35+N42+N55+N56+N39+N40+N38+N48+N50+N52+N27+N53)</f>
        <v/>
      </c>
      <c r="O84" s="1045">
        <f>(O22+O24+O26+O31+O32+O35+O42+O55+O56+O39+O40+O38+O48+O50+O52+O27+O53)</f>
        <v/>
      </c>
      <c r="P84" s="1045">
        <f>(P22+P24+P26+P31+P32+P35+P42+P55+P56+P39+P40+P38+P48+P50+P52+P27+P53)</f>
        <v/>
      </c>
      <c r="Q84" s="1045">
        <f>(Q22+Q24+Q26+Q31+Q32+Q35+Q42+Q55+Q56+Q39+Q40+Q38+Q48+Q50+Q52+Q27+Q53)</f>
        <v/>
      </c>
      <c r="R84" s="1045">
        <f>(R22+R24+R26+R31+R32+R35+R42+R55+R56+R39+R40+R38+R48+R50+R52+R27+R53)</f>
        <v/>
      </c>
      <c r="S84" s="1045">
        <f>(S22+S24+S26+S31+S32+S35+S42+S55+S56+S39+S40+S38+S48+S50+S52+S27+S53)</f>
        <v/>
      </c>
      <c r="T84" s="1045">
        <f>(T22+T24+T26+T31+T32+T35+T42+T55+T56+T39+T40+T38+T48+T50+T52+T27+T53)</f>
        <v/>
      </c>
      <c r="U84" s="1045">
        <f>(U22+U24+U26+U31+U32+U35+U42+U55+U56+U39+U40+U38+U48+U50+U52+U27+U53)</f>
        <v/>
      </c>
      <c r="V84" s="1045">
        <f>(V22+V24+V26+V31+V32+V35+V42+V55+V56+V39+V40+V38+V48+V50+V52+V27+V53)</f>
        <v/>
      </c>
      <c r="W84" s="1046">
        <f>(W22+W24+W26+W31+W32+W35+W42+W55+W56+W39+W40+W38+W48+W50+W52+W27+W53)</f>
        <v/>
      </c>
      <c r="X84" s="1047" t="n"/>
    </row>
    <row r="85" outlineLevel="1" ht="15.75" customHeight="1" s="802" thickBot="1">
      <c r="A85" s="303" t="n"/>
      <c r="B85" s="303" t="n"/>
      <c r="C85" s="305" t="n"/>
      <c r="D85" s="303" t="n"/>
      <c r="E85" s="305" t="n"/>
      <c r="F85" s="305" t="n"/>
      <c r="G85" s="305" t="n"/>
      <c r="H85" s="305" t="n"/>
      <c r="I85" s="305" t="n"/>
      <c r="J85" s="305" t="n"/>
      <c r="K85" s="305" t="n"/>
      <c r="L85" s="305" t="n"/>
      <c r="M85" s="305" t="n"/>
      <c r="N85" s="305" t="n"/>
      <c r="O85" s="305" t="n"/>
      <c r="P85" s="305" t="n"/>
      <c r="Q85" s="305" t="n"/>
      <c r="R85" s="305" t="n"/>
      <c r="S85" s="305" t="n"/>
      <c r="T85" s="305" t="n"/>
      <c r="U85" s="305" t="n"/>
      <c r="V85" s="305" t="n"/>
      <c r="W85" s="305">
        <f>G85+L85+Q85+V85</f>
        <v/>
      </c>
      <c r="X85" s="305" t="n"/>
    </row>
    <row r="86" customFormat="1" s="202">
      <c r="B86" s="368" t="inlineStr">
        <is>
          <t>One time costs:</t>
        </is>
      </c>
      <c r="C86" s="1048" t="n"/>
      <c r="D86" s="370" t="n"/>
      <c r="E86" s="1049" t="n"/>
      <c r="F86" s="1049" t="n"/>
      <c r="G86" s="1049" t="n"/>
      <c r="H86" s="1049" t="n"/>
      <c r="I86" s="1049" t="n"/>
      <c r="J86" s="1049" t="n"/>
      <c r="K86" s="1049" t="n"/>
      <c r="L86" s="1050" t="n"/>
      <c r="M86" s="1049" t="n"/>
      <c r="N86" s="1049" t="n"/>
      <c r="O86" s="1049" t="n"/>
      <c r="P86" s="1049" t="n"/>
      <c r="Q86" s="1051" t="n"/>
      <c r="R86" s="1049" t="n"/>
      <c r="S86" s="1049" t="n"/>
      <c r="T86" s="1049" t="n"/>
      <c r="U86" s="1049" t="n"/>
      <c r="V86" s="1052" t="n"/>
      <c r="W86" s="1050" t="n"/>
      <c r="X86" s="979" t="n"/>
      <c r="Y86" s="216" t="n"/>
    </row>
    <row r="87" hidden="1" outlineLevel="1" ht="14.45" customFormat="1" customHeight="1" s="202">
      <c r="B87" s="306" t="inlineStr">
        <is>
          <t>Legal/Deal Expenses</t>
        </is>
      </c>
      <c r="C87" s="976" t="inlineStr">
        <is>
          <t>Nisha</t>
        </is>
      </c>
      <c r="D87" s="307" t="n"/>
      <c r="E87" s="999" t="n"/>
      <c r="F87" s="1000">
        <f>F37</f>
        <v/>
      </c>
      <c r="G87" s="1000">
        <f>SUM(E87:F87)</f>
        <v/>
      </c>
      <c r="H87" s="1000" t="n"/>
      <c r="I87" s="1000" t="n"/>
      <c r="J87" s="1000" t="n"/>
      <c r="K87" s="1000" t="n"/>
      <c r="L87" s="1053">
        <f>SUM(H87:K87)</f>
        <v/>
      </c>
      <c r="M87" s="1000" t="n"/>
      <c r="N87" s="1000" t="n"/>
      <c r="O87" s="1000" t="n"/>
      <c r="P87" s="1000" t="n"/>
      <c r="Q87" s="1054">
        <f>SUM(M87:P87)</f>
        <v/>
      </c>
      <c r="R87" s="1000" t="n"/>
      <c r="S87" s="1000" t="n"/>
      <c r="T87" s="1000" t="n"/>
      <c r="U87" s="1000" t="n"/>
      <c r="V87" s="1055">
        <f>SUM(R87:U87)</f>
        <v/>
      </c>
      <c r="W87" s="1053">
        <f>G87+L87+Q87+V87</f>
        <v/>
      </c>
      <c r="X87" s="979" t="n"/>
      <c r="Y87" s="216" t="n"/>
    </row>
    <row r="88" hidden="1" outlineLevel="1" ht="14.45" customFormat="1" customHeight="1" s="202">
      <c r="B88" s="338" t="inlineStr">
        <is>
          <t>IT Costs - security/Blackduck costs</t>
        </is>
      </c>
      <c r="C88" s="1056" t="inlineStr">
        <is>
          <t>Jonathan W</t>
        </is>
      </c>
      <c r="D88" s="307" t="n"/>
      <c r="E88" s="999">
        <f>E33</f>
        <v/>
      </c>
      <c r="F88" s="1057" t="n"/>
      <c r="G88" s="1000">
        <f>SUM(E88:F88)</f>
        <v/>
      </c>
      <c r="H88" s="1000" t="n"/>
      <c r="I88" s="1000" t="n"/>
      <c r="J88" s="1000" t="n"/>
      <c r="K88" s="1000" t="n"/>
      <c r="L88" s="1053" t="n"/>
      <c r="M88" s="1000" t="n"/>
      <c r="N88" s="1000" t="n"/>
      <c r="O88" s="1000" t="n"/>
      <c r="P88" s="1000" t="n"/>
      <c r="Q88" s="1058" t="n"/>
      <c r="R88" s="1000" t="n"/>
      <c r="S88" s="1000" t="n"/>
      <c r="T88" s="1000" t="n"/>
      <c r="U88" s="1000" t="n"/>
      <c r="V88" s="1055" t="n"/>
      <c r="W88" s="1053">
        <f>G88+L88+Q88+V88</f>
        <v/>
      </c>
      <c r="X88" s="979" t="n"/>
      <c r="Y88" s="218" t="n"/>
    </row>
    <row r="89" collapsed="1" customFormat="1" s="202">
      <c r="B89" s="309" t="inlineStr">
        <is>
          <t>Deal costs</t>
        </is>
      </c>
      <c r="C89" s="976" t="n"/>
      <c r="D89" s="307" t="n"/>
      <c r="E89" s="1059">
        <f>SUM(E87:E88)</f>
        <v/>
      </c>
      <c r="F89" s="1059">
        <f>SUM(F87:F88)</f>
        <v/>
      </c>
      <c r="G89" s="1059">
        <f>SUM(G87:G88)</f>
        <v/>
      </c>
      <c r="H89" s="1059">
        <f>SUM(H87:H88)</f>
        <v/>
      </c>
      <c r="I89" s="1059">
        <f>SUM(I87:I88)</f>
        <v/>
      </c>
      <c r="J89" s="1059">
        <f>SUM(J87:J88)</f>
        <v/>
      </c>
      <c r="K89" s="1059">
        <f>SUM(K87:K88)</f>
        <v/>
      </c>
      <c r="L89" s="1060">
        <f>SUM(L87:L88)</f>
        <v/>
      </c>
      <c r="M89" s="1059">
        <f>SUM(M87:M88)</f>
        <v/>
      </c>
      <c r="N89" s="1059">
        <f>SUM(N87:N88)</f>
        <v/>
      </c>
      <c r="O89" s="1059">
        <f>SUM(O87:O88)</f>
        <v/>
      </c>
      <c r="P89" s="1059">
        <f>SUM(P87:P88)</f>
        <v/>
      </c>
      <c r="Q89" s="1061">
        <f>SUM(Q87:Q88)</f>
        <v/>
      </c>
      <c r="R89" s="1059">
        <f>SUM(R87:R88)</f>
        <v/>
      </c>
      <c r="S89" s="1059">
        <f>SUM(S87:S88)</f>
        <v/>
      </c>
      <c r="T89" s="1059">
        <f>SUM(T87:T88)</f>
        <v/>
      </c>
      <c r="U89" s="1059">
        <f>SUM(U87:U88)</f>
        <v/>
      </c>
      <c r="V89" s="1062">
        <f>SUM(V87:V88)</f>
        <v/>
      </c>
      <c r="W89" s="1060">
        <f>SUM(W87:W88)</f>
        <v/>
      </c>
      <c r="X89" s="979" t="n"/>
      <c r="Y89" s="216" t="n"/>
    </row>
    <row r="90" hidden="1" outlineLevel="1" ht="14.45" customFormat="1" customHeight="1" s="202">
      <c r="B90" s="306" t="inlineStr">
        <is>
          <t>Inventory write off - units that we will not sell</t>
        </is>
      </c>
      <c r="C90" s="1056" t="inlineStr">
        <is>
          <t>Audrey</t>
        </is>
      </c>
      <c r="D90" s="307" t="n"/>
      <c r="E90" s="999" t="n"/>
      <c r="F90" s="1057">
        <f>F16</f>
        <v/>
      </c>
      <c r="G90" s="1000">
        <f>SUM(E90:F90)</f>
        <v/>
      </c>
      <c r="H90" s="1000" t="n"/>
      <c r="I90" s="1000" t="n"/>
      <c r="J90" s="1000" t="n"/>
      <c r="K90" s="1000" t="n"/>
      <c r="L90" s="1053" t="n"/>
      <c r="M90" s="1000" t="n"/>
      <c r="N90" s="1000" t="n"/>
      <c r="O90" s="1000" t="n"/>
      <c r="P90" s="1000" t="n"/>
      <c r="Q90" s="1058" t="n"/>
      <c r="R90" s="1000" t="n"/>
      <c r="S90" s="1000" t="n"/>
      <c r="T90" s="1000" t="n"/>
      <c r="U90" s="1000" t="n"/>
      <c r="V90" s="1055" t="n"/>
      <c r="W90" s="1053">
        <f>G90+L90+Q90+V90</f>
        <v/>
      </c>
      <c r="X90" s="979" t="n"/>
      <c r="Y90" s="457" t="inlineStr">
        <is>
          <t>Given it results from the transaction and our decision to discontinue selling their product (one time event), there is rationale for it to be GAAP expense only however it is not material enough to consider as GAAP only</t>
        </is>
      </c>
      <c r="Z90" s="457" t="n"/>
      <c r="AA90" s="457" t="n"/>
      <c r="AB90" s="457" t="n"/>
      <c r="AC90" s="457" t="n"/>
      <c r="AD90" s="457" t="n"/>
      <c r="AE90" s="457" t="n"/>
      <c r="AF90" s="457" t="n"/>
      <c r="AG90" s="457" t="n"/>
      <c r="AH90" s="457" t="n"/>
      <c r="AI90" s="457" t="n"/>
      <c r="AJ90" s="457" t="n"/>
      <c r="AK90" s="457" t="n"/>
      <c r="AL90" s="457" t="n"/>
      <c r="AM90" s="457" t="n"/>
      <c r="AN90" s="457" t="n"/>
      <c r="AO90" s="457" t="n"/>
    </row>
    <row r="91" hidden="1" outlineLevel="1" customFormat="1" s="202">
      <c r="B91" s="306" t="inlineStr">
        <is>
          <t>Inventory write off - Buy back of DokiPal units</t>
        </is>
      </c>
      <c r="C91" s="976" t="n"/>
      <c r="D91" s="307" t="n"/>
      <c r="E91" s="980">
        <f>E17</f>
        <v/>
      </c>
      <c r="F91" s="980">
        <f>F17</f>
        <v/>
      </c>
      <c r="G91" s="980">
        <f>G17</f>
        <v/>
      </c>
      <c r="H91" s="980">
        <f>H17</f>
        <v/>
      </c>
      <c r="I91" s="980">
        <f>I17</f>
        <v/>
      </c>
      <c r="J91" s="980">
        <f>J17</f>
        <v/>
      </c>
      <c r="K91" s="980">
        <f>K17</f>
        <v/>
      </c>
      <c r="L91" s="1063">
        <f>L17</f>
        <v/>
      </c>
      <c r="M91" s="980">
        <f>M17</f>
        <v/>
      </c>
      <c r="N91" s="980">
        <f>N17</f>
        <v/>
      </c>
      <c r="O91" s="980">
        <f>O17</f>
        <v/>
      </c>
      <c r="P91" s="980">
        <f>P17</f>
        <v/>
      </c>
      <c r="Q91" s="1064">
        <f>Q17</f>
        <v/>
      </c>
      <c r="R91" s="980">
        <f>R17</f>
        <v/>
      </c>
      <c r="S91" s="980">
        <f>S17</f>
        <v/>
      </c>
      <c r="T91" s="980">
        <f>T17</f>
        <v/>
      </c>
      <c r="U91" s="980">
        <f>U17</f>
        <v/>
      </c>
      <c r="V91" s="1065">
        <f>V17</f>
        <v/>
      </c>
      <c r="W91" s="1063">
        <f>W17</f>
        <v/>
      </c>
      <c r="X91" s="979" t="n"/>
      <c r="Y91" s="216" t="n"/>
    </row>
    <row r="92" hidden="1" outlineLevel="1" customFormat="1" s="202">
      <c r="B92" s="306" t="inlineStr">
        <is>
          <t>IT Costs - integration</t>
        </is>
      </c>
      <c r="C92" s="1056" t="inlineStr">
        <is>
          <t>Bill B</t>
        </is>
      </c>
      <c r="D92" s="307" t="n"/>
      <c r="E92" s="999">
        <f>E34</f>
        <v/>
      </c>
      <c r="F92" s="1000">
        <f>F34</f>
        <v/>
      </c>
      <c r="G92" s="1000">
        <f>G34</f>
        <v/>
      </c>
      <c r="H92" s="1000">
        <f>H34</f>
        <v/>
      </c>
      <c r="I92" s="1000">
        <f>I34</f>
        <v/>
      </c>
      <c r="J92" s="1000">
        <f>J34</f>
        <v/>
      </c>
      <c r="K92" s="1000">
        <f>K34</f>
        <v/>
      </c>
      <c r="L92" s="1053">
        <f>L34</f>
        <v/>
      </c>
      <c r="M92" s="1000">
        <f>M34</f>
        <v/>
      </c>
      <c r="N92" s="1000">
        <f>N34</f>
        <v/>
      </c>
      <c r="O92" s="1000">
        <f>O34</f>
        <v/>
      </c>
      <c r="P92" s="1000">
        <f>P34</f>
        <v/>
      </c>
      <c r="Q92" s="1058">
        <f>Q34</f>
        <v/>
      </c>
      <c r="R92" s="1000">
        <f>R34</f>
        <v/>
      </c>
      <c r="S92" s="1000">
        <f>S34</f>
        <v/>
      </c>
      <c r="T92" s="1000">
        <f>T34</f>
        <v/>
      </c>
      <c r="U92" s="1000">
        <f>U34</f>
        <v/>
      </c>
      <c r="V92" s="1055">
        <f>V34</f>
        <v/>
      </c>
      <c r="W92" s="1053">
        <f>G92+L92+Q92+V92</f>
        <v/>
      </c>
      <c r="X92" s="979" t="n"/>
      <c r="AA92" s="780" t="n"/>
    </row>
    <row r="93" hidden="1" outlineLevel="1" customFormat="1" s="202">
      <c r="B93" s="306" t="inlineStr">
        <is>
          <t>Valuation reviews</t>
        </is>
      </c>
      <c r="C93" s="976" t="inlineStr">
        <is>
          <t>Heather</t>
        </is>
      </c>
      <c r="D93" s="307" t="n"/>
      <c r="E93" s="999" t="n"/>
      <c r="F93" s="1000">
        <f>F36</f>
        <v/>
      </c>
      <c r="G93" s="1000">
        <f>SUM(E93:F93)</f>
        <v/>
      </c>
      <c r="H93" s="1000" t="n"/>
      <c r="I93" s="1000" t="n"/>
      <c r="J93" s="1000" t="n"/>
      <c r="K93" s="1000" t="n"/>
      <c r="L93" s="1053">
        <f>SUM(H93:K93)</f>
        <v/>
      </c>
      <c r="M93" s="1000" t="n"/>
      <c r="N93" s="1000" t="n"/>
      <c r="O93" s="1000" t="n"/>
      <c r="P93" s="1000" t="n"/>
      <c r="Q93" s="1058">
        <f>SUM(M93:P93)</f>
        <v/>
      </c>
      <c r="R93" s="1000" t="n"/>
      <c r="S93" s="1000" t="n"/>
      <c r="T93" s="1000" t="n"/>
      <c r="U93" s="1000" t="n"/>
      <c r="V93" s="1055">
        <f>SUM(R93:U93)</f>
        <v/>
      </c>
      <c r="W93" s="1053">
        <f>G93+L93+Q93+V93</f>
        <v/>
      </c>
      <c r="X93" s="979" t="n"/>
      <c r="Y93" s="218" t="n"/>
    </row>
    <row r="94" collapsed="1" customFormat="1" s="202">
      <c r="B94" s="309" t="inlineStr">
        <is>
          <t>Integration costs</t>
        </is>
      </c>
      <c r="C94" s="976" t="n"/>
      <c r="D94" s="307" t="n"/>
      <c r="E94" s="1059">
        <f>SUM(E90:E93)</f>
        <v/>
      </c>
      <c r="F94" s="1059">
        <f>SUM(F90:F93)</f>
        <v/>
      </c>
      <c r="G94" s="1059">
        <f>SUM(G90:G93)</f>
        <v/>
      </c>
      <c r="H94" s="1059">
        <f>SUM(H90:H93)</f>
        <v/>
      </c>
      <c r="I94" s="1059">
        <f>SUM(I90:I93)</f>
        <v/>
      </c>
      <c r="J94" s="1059">
        <f>SUM(J90:J93)</f>
        <v/>
      </c>
      <c r="K94" s="1059">
        <f>SUM(K90:K93)</f>
        <v/>
      </c>
      <c r="L94" s="1060">
        <f>SUM(L90:L93)</f>
        <v/>
      </c>
      <c r="M94" s="1059">
        <f>SUM(M90:M93)</f>
        <v/>
      </c>
      <c r="N94" s="1059">
        <f>SUM(N90:N93)</f>
        <v/>
      </c>
      <c r="O94" s="1059">
        <f>SUM(O90:O93)</f>
        <v/>
      </c>
      <c r="P94" s="1059">
        <f>SUM(P90:P93)</f>
        <v/>
      </c>
      <c r="Q94" s="1061">
        <f>SUM(Q90:Q93)</f>
        <v/>
      </c>
      <c r="R94" s="1059">
        <f>SUM(R90:R93)</f>
        <v/>
      </c>
      <c r="S94" s="1059">
        <f>SUM(S90:S93)</f>
        <v/>
      </c>
      <c r="T94" s="1059">
        <f>SUM(T90:T93)</f>
        <v/>
      </c>
      <c r="U94" s="1059">
        <f>SUM(U90:U93)</f>
        <v/>
      </c>
      <c r="V94" s="1062">
        <f>SUM(V90:V93)</f>
        <v/>
      </c>
      <c r="W94" s="1060">
        <f>SUM(W90:W93)</f>
        <v/>
      </c>
      <c r="X94" s="979" t="n"/>
      <c r="Y94" s="1066" t="n"/>
    </row>
    <row r="95" ht="15.75" customHeight="1" s="802" thickBot="1">
      <c r="B95" s="374" t="inlineStr">
        <is>
          <t>Total one off costs</t>
        </is>
      </c>
      <c r="C95" s="375" t="n"/>
      <c r="D95" s="376" t="n"/>
      <c r="E95" s="1067">
        <f>E94+E89</f>
        <v/>
      </c>
      <c r="F95" s="1067">
        <f>F94+F89</f>
        <v/>
      </c>
      <c r="G95" s="1045">
        <f>G94+G89</f>
        <v/>
      </c>
      <c r="H95" s="1067">
        <f>H94+H89</f>
        <v/>
      </c>
      <c r="I95" s="1067">
        <f>I94+I89</f>
        <v/>
      </c>
      <c r="J95" s="1067">
        <f>J94+J89</f>
        <v/>
      </c>
      <c r="K95" s="1067">
        <f>K94+K89</f>
        <v/>
      </c>
      <c r="L95" s="1068">
        <f>L94+L89</f>
        <v/>
      </c>
      <c r="M95" s="1067">
        <f>M94+M89</f>
        <v/>
      </c>
      <c r="N95" s="1067">
        <f>N94+N89</f>
        <v/>
      </c>
      <c r="O95" s="1067">
        <f>O94+O89</f>
        <v/>
      </c>
      <c r="P95" s="1067">
        <f>P94+P89</f>
        <v/>
      </c>
      <c r="Q95" s="1069">
        <f>Q94+Q89</f>
        <v/>
      </c>
      <c r="R95" s="1067">
        <f>R94+R89</f>
        <v/>
      </c>
      <c r="S95" s="1067">
        <f>S94+S89</f>
        <v/>
      </c>
      <c r="T95" s="1067">
        <f>T94+T89</f>
        <v/>
      </c>
      <c r="U95" s="1067">
        <f>U94+U89</f>
        <v/>
      </c>
      <c r="V95" s="1070">
        <f>V94+V89</f>
        <v/>
      </c>
      <c r="W95" s="1044">
        <f>W94+W89</f>
        <v/>
      </c>
      <c r="X95" s="1071" t="n"/>
      <c r="Y95" s="1066" t="n"/>
    </row>
    <row r="96" hidden="1" outlineLevel="1" s="802">
      <c r="A96" s="303" t="n"/>
      <c r="B96" s="319" t="inlineStr">
        <is>
          <t>Check</t>
        </is>
      </c>
      <c r="C96" s="305" t="n"/>
      <c r="D96" s="303" t="n"/>
      <c r="E96" s="1047">
        <f>E95-E37-E36-E33-E34-E16-E17</f>
        <v/>
      </c>
      <c r="F96" s="1047">
        <f>F95-F37-F36-F33-F34-F16-F17</f>
        <v/>
      </c>
      <c r="G96" s="1047">
        <f>G95-G37-G36-G33-G34-G16-G17</f>
        <v/>
      </c>
      <c r="H96" s="1047">
        <f>H95-H37-H36-H33-H34-H16-H17</f>
        <v/>
      </c>
      <c r="I96" s="1047">
        <f>I95-I37-I36-I33-I34-I16-I17</f>
        <v/>
      </c>
      <c r="J96" s="1047">
        <f>J95-J37-J36-J33-J34-J16-J17</f>
        <v/>
      </c>
      <c r="K96" s="1047">
        <f>K95-K37-K36-K33-K34-K16-K17</f>
        <v/>
      </c>
      <c r="L96" s="1047">
        <f>L95-L37-L36-L33-L34-L16-L17</f>
        <v/>
      </c>
      <c r="M96" s="1047">
        <f>M95-M37-M36-M33-M34-M16-M17</f>
        <v/>
      </c>
      <c r="N96" s="1047">
        <f>N95-N37-N36-N33-N34-N16-N17</f>
        <v/>
      </c>
      <c r="O96" s="1047">
        <f>O95-O37-O36-O33-O34-O16-O17</f>
        <v/>
      </c>
      <c r="P96" s="1047">
        <f>P95-P37-P36-P33-P34-P16-P17</f>
        <v/>
      </c>
      <c r="Q96" s="1047">
        <f>Q95-Q37-Q36-Q33-Q34-Q16-Q17</f>
        <v/>
      </c>
      <c r="R96" s="1047">
        <f>R95-R37-R36-R33-R34-R16-R17</f>
        <v/>
      </c>
      <c r="S96" s="1047">
        <f>S95-S37-S36-S33-S34-S16-S17</f>
        <v/>
      </c>
      <c r="T96" s="1047">
        <f>T95-T37-T36-T33-T34-T16-T17</f>
        <v/>
      </c>
      <c r="U96" s="1047">
        <f>U95-U37-U36-U33-U34-U16-U17</f>
        <v/>
      </c>
      <c r="V96" s="1047">
        <f>V95-V37-V36-V33-V34-V16-V17</f>
        <v/>
      </c>
      <c r="W96" s="1047">
        <f>W95-W37-W36-W33-W34-W16-W17</f>
        <v/>
      </c>
      <c r="X96" s="1047" t="n"/>
    </row>
    <row r="97" hidden="1" outlineLevel="1" s="802">
      <c r="B97" s="319" t="inlineStr">
        <is>
          <t>Check</t>
        </is>
      </c>
      <c r="E97" s="1047">
        <f>E82-E95-E84</f>
        <v/>
      </c>
      <c r="F97" s="1047">
        <f>F82-F95-F84</f>
        <v/>
      </c>
      <c r="G97" s="1047">
        <f>G82-G95-G84</f>
        <v/>
      </c>
      <c r="H97" s="1047">
        <f>H82-H95-H84</f>
        <v/>
      </c>
      <c r="I97" s="1047">
        <f>I82-I95-I84</f>
        <v/>
      </c>
      <c r="J97" s="1047">
        <f>J82-J95-J84</f>
        <v/>
      </c>
      <c r="K97" s="1047">
        <f>K82-K95-K84</f>
        <v/>
      </c>
      <c r="L97" s="1047">
        <f>L82-L95-L84</f>
        <v/>
      </c>
      <c r="M97" s="1047">
        <f>M82-M95-M84</f>
        <v/>
      </c>
      <c r="N97" s="1047">
        <f>N82-N95-N84</f>
        <v/>
      </c>
      <c r="O97" s="1047">
        <f>O82-O95-O84</f>
        <v/>
      </c>
      <c r="P97" s="1047">
        <f>P82-P95-P84</f>
        <v/>
      </c>
      <c r="Q97" s="1047">
        <f>Q82-Q95-Q84</f>
        <v/>
      </c>
      <c r="R97" s="1047">
        <f>R82-R95-R84</f>
        <v/>
      </c>
      <c r="S97" s="1047">
        <f>S82-S95-S84</f>
        <v/>
      </c>
      <c r="T97" s="1047">
        <f>T82-T95-T84</f>
        <v/>
      </c>
      <c r="U97" s="1047">
        <f>U82-U95-U84</f>
        <v/>
      </c>
      <c r="V97" s="1047">
        <f>V82-V95-V84</f>
        <v/>
      </c>
      <c r="W97" s="1047">
        <f>W82-W95-W84</f>
        <v/>
      </c>
      <c r="X97" s="1047" t="n"/>
    </row>
    <row r="98" collapsed="1" ht="15.75" customHeight="1" s="802" thickBot="1">
      <c r="G98" s="305" t="n"/>
      <c r="L98" s="305" t="n"/>
      <c r="Q98" s="305" t="n"/>
      <c r="V98" s="305" t="n"/>
      <c r="W98" s="305" t="n"/>
      <c r="X98" s="305" t="n"/>
    </row>
    <row r="99">
      <c r="B99" s="342" t="inlineStr">
        <is>
          <t>HC Costs</t>
        </is>
      </c>
      <c r="C99" s="346" t="n"/>
      <c r="D99" s="322" t="n"/>
      <c r="E99" s="1072">
        <f>E29+E54</f>
        <v/>
      </c>
      <c r="F99" s="1072">
        <f>F29+F54</f>
        <v/>
      </c>
      <c r="G99" s="1072">
        <f>G29+G54</f>
        <v/>
      </c>
      <c r="H99" s="1072">
        <f>H29+H54</f>
        <v/>
      </c>
      <c r="I99" s="1072">
        <f>I29+I54</f>
        <v/>
      </c>
      <c r="J99" s="1072">
        <f>J29+J54</f>
        <v/>
      </c>
      <c r="K99" s="1072">
        <f>K29+K54</f>
        <v/>
      </c>
      <c r="L99" s="1073">
        <f>L29+L54</f>
        <v/>
      </c>
      <c r="M99" s="1072">
        <f>M29+M54</f>
        <v/>
      </c>
      <c r="N99" s="1072">
        <f>N29+N54</f>
        <v/>
      </c>
      <c r="O99" s="1072">
        <f>O29+O54</f>
        <v/>
      </c>
      <c r="P99" s="1072">
        <f>P29+P54</f>
        <v/>
      </c>
      <c r="Q99" s="1072">
        <f>Q29+Q54</f>
        <v/>
      </c>
      <c r="R99" s="1072">
        <f>R29+R54</f>
        <v/>
      </c>
      <c r="S99" s="1072">
        <f>S29+S54</f>
        <v/>
      </c>
      <c r="T99" s="1072">
        <f>T29+T54</f>
        <v/>
      </c>
      <c r="U99" s="1072">
        <f>U29+U54</f>
        <v/>
      </c>
      <c r="V99" s="1072">
        <f>V29+V54</f>
        <v/>
      </c>
      <c r="W99" s="1074">
        <f>W29+W54</f>
        <v/>
      </c>
      <c r="X99" s="305" t="n"/>
    </row>
    <row r="100" outlineLevel="1" s="802">
      <c r="B100" s="332" t="inlineStr">
        <is>
          <t>- curent headcount</t>
        </is>
      </c>
      <c r="C100" s="305" t="n"/>
      <c r="D100" s="303" t="n"/>
      <c r="E100" s="1047">
        <f>E29</f>
        <v/>
      </c>
      <c r="F100" s="1047">
        <f>F29</f>
        <v/>
      </c>
      <c r="G100" s="1047">
        <f>G29</f>
        <v/>
      </c>
      <c r="H100" s="1047">
        <f>H29</f>
        <v/>
      </c>
      <c r="I100" s="1047">
        <f>I29</f>
        <v/>
      </c>
      <c r="J100" s="1047">
        <f>J29</f>
        <v/>
      </c>
      <c r="K100" s="1047">
        <f>K29</f>
        <v/>
      </c>
      <c r="L100" s="1075">
        <f>L29</f>
        <v/>
      </c>
      <c r="M100" s="1047">
        <f>M29</f>
        <v/>
      </c>
      <c r="N100" s="1047">
        <f>N29</f>
        <v/>
      </c>
      <c r="O100" s="1047">
        <f>O29</f>
        <v/>
      </c>
      <c r="P100" s="1047">
        <f>P29</f>
        <v/>
      </c>
      <c r="Q100" s="1047">
        <f>Q29</f>
        <v/>
      </c>
      <c r="R100" s="1047">
        <f>R29</f>
        <v/>
      </c>
      <c r="S100" s="1047">
        <f>S29</f>
        <v/>
      </c>
      <c r="T100" s="1047">
        <f>T29</f>
        <v/>
      </c>
      <c r="U100" s="1047">
        <f>U29</f>
        <v/>
      </c>
      <c r="V100" s="1047">
        <f>V29</f>
        <v/>
      </c>
      <c r="W100" s="1075">
        <f>W29</f>
        <v/>
      </c>
      <c r="X100" s="305" t="n"/>
    </row>
    <row r="101" outlineLevel="1" s="802">
      <c r="B101" s="332" t="inlineStr">
        <is>
          <t>- new headcount</t>
        </is>
      </c>
      <c r="C101" s="305" t="n"/>
      <c r="D101" s="303" t="n"/>
      <c r="E101" s="1047">
        <f>E54</f>
        <v/>
      </c>
      <c r="F101" s="1047">
        <f>F54</f>
        <v/>
      </c>
      <c r="G101" s="1047">
        <f>G54</f>
        <v/>
      </c>
      <c r="H101" s="1047">
        <f>H54</f>
        <v/>
      </c>
      <c r="I101" s="1047">
        <f>I54</f>
        <v/>
      </c>
      <c r="J101" s="1047">
        <f>J54</f>
        <v/>
      </c>
      <c r="K101" s="1047">
        <f>K54</f>
        <v/>
      </c>
      <c r="L101" s="1075">
        <f>L54</f>
        <v/>
      </c>
      <c r="M101" s="1047">
        <f>M54</f>
        <v/>
      </c>
      <c r="N101" s="1047">
        <f>N54</f>
        <v/>
      </c>
      <c r="O101" s="1047">
        <f>O54</f>
        <v/>
      </c>
      <c r="P101" s="1047">
        <f>P54</f>
        <v/>
      </c>
      <c r="Q101" s="1047">
        <f>Q54</f>
        <v/>
      </c>
      <c r="R101" s="1047">
        <f>R54</f>
        <v/>
      </c>
      <c r="S101" s="1047">
        <f>S54</f>
        <v/>
      </c>
      <c r="T101" s="1047">
        <f>T54</f>
        <v/>
      </c>
      <c r="U101" s="1047">
        <f>U54</f>
        <v/>
      </c>
      <c r="V101" s="1047">
        <f>V54</f>
        <v/>
      </c>
      <c r="W101" s="1075">
        <f>W54</f>
        <v/>
      </c>
      <c r="X101" s="305" t="n"/>
      <c r="Z101" s="461" t="inlineStr">
        <is>
          <t>More engineers</t>
        </is>
      </c>
      <c r="AA101" s="460">
        <f>(L101-L100)/L100</f>
        <v/>
      </c>
    </row>
    <row r="102">
      <c r="B102" s="465" t="inlineStr">
        <is>
          <t>Non HC Costs</t>
        </is>
      </c>
      <c r="C102" s="305" t="n"/>
      <c r="D102" s="303" t="n"/>
      <c r="E102" s="1047">
        <f>E82-E99-E95</f>
        <v/>
      </c>
      <c r="F102" s="1047">
        <f>F82-F99-F95</f>
        <v/>
      </c>
      <c r="G102" s="1047">
        <f>G82-G99-G95</f>
        <v/>
      </c>
      <c r="H102" s="1047">
        <f>H82-H99-H95</f>
        <v/>
      </c>
      <c r="I102" s="1047">
        <f>I82-I99-I95</f>
        <v/>
      </c>
      <c r="J102" s="1047">
        <f>J82-J99-J95</f>
        <v/>
      </c>
      <c r="K102" s="1047">
        <f>K82-K99-K95</f>
        <v/>
      </c>
      <c r="L102" s="1076">
        <f>L82-L99-L95</f>
        <v/>
      </c>
      <c r="M102" s="1047">
        <f>M82-M99-M95</f>
        <v/>
      </c>
      <c r="N102" s="1047">
        <f>N82-N99-N95</f>
        <v/>
      </c>
      <c r="O102" s="1047">
        <f>O82-O99-O95</f>
        <v/>
      </c>
      <c r="P102" s="1047">
        <f>P82-P99-P95</f>
        <v/>
      </c>
      <c r="Q102" s="1047">
        <f>Q82-Q99-Q95</f>
        <v/>
      </c>
      <c r="R102" s="1047">
        <f>R82-R99-R95</f>
        <v/>
      </c>
      <c r="S102" s="1047">
        <f>S82-S99-S95</f>
        <v/>
      </c>
      <c r="T102" s="1047">
        <f>T82-T99-T95</f>
        <v/>
      </c>
      <c r="U102" s="1047">
        <f>U82-U99-U95</f>
        <v/>
      </c>
      <c r="V102" s="1047">
        <f>V82-V99-V95</f>
        <v/>
      </c>
      <c r="W102" s="1075">
        <f>W82-W99-W95</f>
        <v/>
      </c>
      <c r="X102" s="305" t="n"/>
    </row>
    <row r="103" ht="15.75" customHeight="1" s="802" thickBot="1">
      <c r="B103" s="314" t="inlineStr">
        <is>
          <t>Non GAAP run rate costs</t>
        </is>
      </c>
      <c r="C103" s="328" t="n"/>
      <c r="D103" s="316" t="n"/>
      <c r="E103" s="1077">
        <f>E99+E102</f>
        <v/>
      </c>
      <c r="F103" s="1077">
        <f>F99+F102</f>
        <v/>
      </c>
      <c r="G103" s="1077">
        <f>G99+G102</f>
        <v/>
      </c>
      <c r="H103" s="1077">
        <f>H99+H102</f>
        <v/>
      </c>
      <c r="I103" s="1077">
        <f>I99+I102</f>
        <v/>
      </c>
      <c r="J103" s="1077">
        <f>J99+J102</f>
        <v/>
      </c>
      <c r="K103" s="1077">
        <f>K99+K102</f>
        <v/>
      </c>
      <c r="L103" s="1078">
        <f>L99+L102</f>
        <v/>
      </c>
      <c r="M103" s="1079">
        <f>M99+M102</f>
        <v/>
      </c>
      <c r="N103" s="1079">
        <f>N99+N102</f>
        <v/>
      </c>
      <c r="O103" s="1079">
        <f>O99+O102</f>
        <v/>
      </c>
      <c r="P103" s="1079">
        <f>P99+P102</f>
        <v/>
      </c>
      <c r="Q103" s="1079">
        <f>Q99+Q102</f>
        <v/>
      </c>
      <c r="R103" s="1079">
        <f>R99+R102</f>
        <v/>
      </c>
      <c r="S103" s="1079">
        <f>S99+S102</f>
        <v/>
      </c>
      <c r="T103" s="1079">
        <f>T99+T102</f>
        <v/>
      </c>
      <c r="U103" s="1079">
        <f>U99+U102</f>
        <v/>
      </c>
      <c r="V103" s="1079">
        <f>V99+V102</f>
        <v/>
      </c>
      <c r="W103" s="1080">
        <f>W99+W102</f>
        <v/>
      </c>
      <c r="X103" s="305" t="n"/>
    </row>
    <row r="104">
      <c r="B104" s="202" t="n"/>
      <c r="C104" s="305" t="n"/>
      <c r="D104" s="303" t="n"/>
      <c r="E104" s="1047" t="n"/>
      <c r="F104" s="1047" t="n"/>
      <c r="G104" s="1047" t="n"/>
      <c r="H104" s="1047" t="n"/>
      <c r="I104" s="1047" t="n"/>
      <c r="J104" s="1047" t="n"/>
      <c r="K104" s="1047" t="n"/>
      <c r="L104" s="1047" t="n"/>
      <c r="M104" s="1047" t="n"/>
      <c r="N104" s="1047" t="n"/>
      <c r="O104" s="1047" t="n"/>
      <c r="P104" s="1047" t="n"/>
      <c r="Q104" s="1047" t="n"/>
      <c r="R104" s="1047" t="n"/>
      <c r="S104" s="1047" t="n"/>
      <c r="T104" s="1047" t="n"/>
      <c r="U104" s="1047" t="n"/>
      <c r="V104" s="1047" t="n"/>
      <c r="W104" s="1047">
        <f>W82-W95-W103</f>
        <v/>
      </c>
      <c r="X104" s="305" t="n"/>
    </row>
    <row r="105" hidden="1" outlineLevel="1" s="802">
      <c r="B105" s="171" t="n"/>
      <c r="C105" s="346" t="n"/>
      <c r="D105" s="322" t="n"/>
      <c r="E105" s="1072" t="n"/>
      <c r="F105" s="1072" t="n"/>
      <c r="G105" s="1072" t="n"/>
      <c r="H105" s="1072" t="n"/>
      <c r="I105" s="1072" t="n"/>
      <c r="J105" s="1072" t="n"/>
      <c r="K105" s="1072" t="n"/>
      <c r="L105" s="1074" t="n"/>
      <c r="M105" s="1072" t="n"/>
      <c r="N105" s="1072" t="n"/>
      <c r="O105" s="1072" t="n"/>
      <c r="P105" s="1072" t="n"/>
      <c r="Q105" s="1072" t="n"/>
      <c r="R105" s="1072" t="n"/>
      <c r="S105" s="1072" t="n"/>
      <c r="T105" s="1072" t="n"/>
      <c r="U105" s="1072" t="n"/>
      <c r="V105" s="1072" t="n"/>
      <c r="W105" s="1074" t="n"/>
    </row>
    <row r="106" hidden="1" outlineLevel="1" s="802">
      <c r="B106" s="286" t="inlineStr">
        <is>
          <t>RSUs</t>
        </is>
      </c>
      <c r="C106" s="305" t="n"/>
      <c r="D106" s="303" t="n"/>
      <c r="E106" s="305" t="n"/>
      <c r="F106" s="1047">
        <f>[1]Sheet1!$N$37/4</f>
        <v/>
      </c>
      <c r="G106" s="1047">
        <f>F106</f>
        <v/>
      </c>
      <c r="H106" s="1047">
        <f>G106</f>
        <v/>
      </c>
      <c r="I106" s="1047">
        <f>H106</f>
        <v/>
      </c>
      <c r="J106" s="1047">
        <f>I106</f>
        <v/>
      </c>
      <c r="K106" s="1047">
        <f>J106</f>
        <v/>
      </c>
      <c r="L106" s="1075">
        <f>SUM(H106:K106)</f>
        <v/>
      </c>
      <c r="M106" s="1047">
        <f>H106</f>
        <v/>
      </c>
      <c r="N106" s="1047">
        <f>M106</f>
        <v/>
      </c>
      <c r="O106" s="1047">
        <f>N106</f>
        <v/>
      </c>
      <c r="P106" s="1047">
        <f>O106</f>
        <v/>
      </c>
      <c r="Q106" s="1047">
        <f>SUM(M106:P106)</f>
        <v/>
      </c>
      <c r="R106" s="1047">
        <f>H106</f>
        <v/>
      </c>
      <c r="S106" s="1047">
        <f>R106</f>
        <v/>
      </c>
      <c r="T106" s="1047">
        <f>S106</f>
        <v/>
      </c>
      <c r="U106" s="1047" t="n"/>
      <c r="V106" s="1047">
        <f>SUM(R106:U106)</f>
        <v/>
      </c>
      <c r="W106" s="1075">
        <f>G106+L106+Q106+V106</f>
        <v/>
      </c>
    </row>
    <row r="107" hidden="1" outlineLevel="1" ht="15.75" customHeight="1" s="802" thickBot="1">
      <c r="B107" s="327" t="inlineStr">
        <is>
          <t>Non GAAP Costs</t>
        </is>
      </c>
      <c r="C107" s="328" t="n"/>
      <c r="D107" s="329" t="n"/>
      <c r="E107" s="328" t="n"/>
      <c r="F107" s="328" t="n"/>
      <c r="G107" s="328" t="n"/>
      <c r="H107" s="328" t="n"/>
      <c r="I107" s="328" t="n"/>
      <c r="J107" s="328" t="n"/>
      <c r="K107" s="328" t="n"/>
      <c r="L107" s="331" t="n"/>
      <c r="M107" s="328" t="n"/>
      <c r="N107" s="328" t="n"/>
      <c r="O107" s="328" t="n"/>
      <c r="P107" s="328" t="n"/>
      <c r="Q107" s="328" t="n"/>
      <c r="R107" s="328" t="n"/>
      <c r="S107" s="328" t="n"/>
      <c r="T107" s="328" t="n"/>
      <c r="U107" s="328" t="n"/>
      <c r="V107" s="328" t="n"/>
      <c r="W107" s="331" t="n"/>
    </row>
    <row r="108" collapsed="1" s="802"/>
    <row r="109" hidden="1" outlineLevel="1" s="802">
      <c r="B109" s="342" t="inlineStr">
        <is>
          <t>Working capital costs - purchase price negotiation or posted against Goodwill</t>
        </is>
      </c>
      <c r="C109" s="346" t="n"/>
      <c r="D109" s="322" t="n"/>
      <c r="E109" s="346" t="n"/>
      <c r="F109" s="346" t="n"/>
      <c r="G109" s="346" t="n"/>
      <c r="H109" s="346" t="n"/>
      <c r="I109" s="346" t="n"/>
      <c r="J109" s="346" t="n"/>
      <c r="K109" s="346" t="n"/>
      <c r="L109" s="390" t="n"/>
      <c r="M109" s="346" t="n"/>
      <c r="N109" s="346" t="n"/>
      <c r="O109" s="346" t="n"/>
      <c r="P109" s="346" t="n"/>
      <c r="Q109" s="346" t="n"/>
      <c r="R109" s="346" t="n"/>
      <c r="S109" s="346" t="n"/>
      <c r="T109" s="346" t="n"/>
      <c r="U109" s="346" t="n"/>
      <c r="V109" s="346" t="n"/>
      <c r="W109" s="390" t="n"/>
      <c r="Y109" s="212" t="inlineStr">
        <is>
          <t>These are net working capital costs which are not already included in the books at the point of acquisition (whereas the inventory and facilities current lease costs above are our decision once we have already integrated)</t>
        </is>
      </c>
    </row>
    <row r="110" hidden="1" outlineLevel="1" customFormat="1" s="202">
      <c r="B110" s="203" t="inlineStr">
        <is>
          <t>Promo costs</t>
        </is>
      </c>
      <c r="C110" s="969" t="inlineStr">
        <is>
          <t>LB</t>
        </is>
      </c>
      <c r="E110" s="962" t="n"/>
      <c r="F110" s="1034" t="n">
        <v>11485</v>
      </c>
      <c r="G110" s="979">
        <f>SUM(E110:F110)</f>
        <v/>
      </c>
      <c r="H110" s="962" t="n"/>
      <c r="I110" s="962" t="n"/>
      <c r="J110" s="962" t="n"/>
      <c r="K110" s="962" t="n"/>
      <c r="L110" s="985" t="n"/>
      <c r="M110" s="962" t="n"/>
      <c r="N110" s="962" t="n"/>
      <c r="O110" s="962" t="n"/>
      <c r="P110" s="962" t="n"/>
      <c r="Q110" s="962" t="n"/>
      <c r="R110" s="962" t="n"/>
      <c r="S110" s="962" t="n"/>
      <c r="T110" s="962" t="n"/>
      <c r="U110" s="962" t="n"/>
      <c r="V110" s="962" t="n"/>
      <c r="W110" s="978">
        <f>G110+L110+Q110+V110</f>
        <v/>
      </c>
      <c r="X110" s="979" t="n"/>
      <c r="Y110" s="212" t="inlineStr">
        <is>
          <t>Part of working capital/purchase price negotiation - will either be paid by them before integration or posted against goodwill</t>
        </is>
      </c>
    </row>
    <row r="111" hidden="1" outlineLevel="1" customFormat="1" s="202">
      <c r="B111" s="203" t="inlineStr">
        <is>
          <t>Back end rebates</t>
        </is>
      </c>
      <c r="C111" s="969" t="inlineStr">
        <is>
          <t>LB</t>
        </is>
      </c>
      <c r="E111" s="962" t="n"/>
      <c r="F111" s="1034" t="n">
        <v>861</v>
      </c>
      <c r="G111" s="979">
        <f>SUM(E111:F111)</f>
        <v/>
      </c>
      <c r="H111" s="962" t="n"/>
      <c r="I111" s="962" t="n"/>
      <c r="J111" s="962" t="n"/>
      <c r="K111" s="962" t="n"/>
      <c r="L111" s="985" t="n"/>
      <c r="M111" s="969" t="n"/>
      <c r="N111" s="969" t="n"/>
      <c r="O111" s="969" t="n"/>
      <c r="P111" s="969" t="n"/>
      <c r="Q111" s="962" t="n"/>
      <c r="R111" s="962" t="n"/>
      <c r="S111" s="962" t="n"/>
      <c r="T111" s="962" t="n"/>
      <c r="U111" s="962" t="n"/>
      <c r="V111" s="962" t="n"/>
      <c r="W111" s="978">
        <f>G111+L111+Q111+V111</f>
        <v/>
      </c>
      <c r="X111" s="979" t="n"/>
      <c r="Y111" s="212" t="inlineStr">
        <is>
          <t>Part of working capital/purchase price negotiation - will either be paid by them before integration or posted against goodwill</t>
        </is>
      </c>
    </row>
    <row r="112" hidden="1" outlineLevel="1" customFormat="1" s="202">
      <c r="B112" s="203" t="inlineStr">
        <is>
          <t>Returns</t>
        </is>
      </c>
      <c r="C112" s="969" t="inlineStr">
        <is>
          <t>Audrey</t>
        </is>
      </c>
      <c r="E112" s="962" t="n"/>
      <c r="F112" s="1034">
        <f>4000*(180*60%)*3.4%</f>
        <v/>
      </c>
      <c r="G112" s="979">
        <f>SUM(E112:F112)</f>
        <v/>
      </c>
      <c r="H112" s="962" t="n"/>
      <c r="I112" s="962" t="n"/>
      <c r="J112" s="962" t="n"/>
      <c r="K112" s="962" t="n"/>
      <c r="L112" s="985" t="n"/>
      <c r="M112" s="969" t="n"/>
      <c r="N112" s="969" t="n"/>
      <c r="O112" s="969" t="n"/>
      <c r="P112" s="969" t="n"/>
      <c r="Q112" s="962" t="n"/>
      <c r="R112" s="962" t="n"/>
      <c r="S112" s="962" t="n"/>
      <c r="T112" s="962" t="n"/>
      <c r="U112" s="962" t="n"/>
      <c r="V112" s="962" t="n"/>
      <c r="W112" s="978">
        <f>G112+L112+Q112+V112</f>
        <v/>
      </c>
      <c r="X112" s="979" t="n"/>
      <c r="Y112" s="212" t="inlineStr">
        <is>
          <t>Part of working capital/purchase price negotiation - will either be paid by them before integration or posted against goodwill</t>
        </is>
      </c>
      <c r="AA112" s="780" t="n"/>
      <c r="AB112" s="780" t="n"/>
      <c r="AC112" s="780" t="n"/>
      <c r="AD112" s="780" t="n"/>
      <c r="AE112" s="780" t="n"/>
      <c r="AF112" s="780" t="n"/>
      <c r="AG112" s="780" t="n"/>
      <c r="AH112" s="780" t="n"/>
    </row>
    <row r="113" hidden="1" outlineLevel="1" ht="14.45" customFormat="1" customHeight="1" s="202">
      <c r="B113" s="450" t="inlineStr">
        <is>
          <t>Additional warranty reserve</t>
        </is>
      </c>
      <c r="C113" s="969" t="inlineStr">
        <is>
          <t>Audrey</t>
        </is>
      </c>
      <c r="E113" s="187" t="n"/>
      <c r="F113" s="1034">
        <f>((4882*(65+20)*2.5%)+((7100*(50+20)*4.3%)))-24255+300-790</f>
        <v/>
      </c>
      <c r="G113" s="979">
        <f>SUM(E113:F113)</f>
        <v/>
      </c>
      <c r="H113" s="962" t="n"/>
      <c r="I113" s="962" t="n"/>
      <c r="J113" s="962" t="n"/>
      <c r="K113" s="962" t="n"/>
      <c r="L113" s="985" t="n"/>
      <c r="M113" s="969" t="n"/>
      <c r="N113" s="969" t="n"/>
      <c r="O113" s="969" t="n"/>
      <c r="P113" s="969" t="n"/>
      <c r="Q113" s="962" t="n"/>
      <c r="R113" s="962" t="n"/>
      <c r="S113" s="962" t="n"/>
      <c r="T113" s="962" t="n"/>
      <c r="U113" s="962" t="n"/>
      <c r="V113" s="962" t="n"/>
      <c r="W113" s="978">
        <f>G113+L113+Q113+V113</f>
        <v/>
      </c>
      <c r="X113" s="979" t="n"/>
      <c r="Y113" s="212" t="inlineStr">
        <is>
          <t>Part of working capital/purchase price negotiation - will either be paid by them before integration or posted against goodwill</t>
        </is>
      </c>
      <c r="AA113" s="216" t="n"/>
      <c r="AB113" s="216" t="n"/>
      <c r="AC113" s="216" t="n"/>
      <c r="AD113" s="216" t="n"/>
      <c r="AE113" s="216" t="n"/>
      <c r="AF113" s="216" t="n"/>
      <c r="AG113" s="216" t="n"/>
      <c r="AH113" s="216" t="n"/>
    </row>
    <row r="114" hidden="1" outlineLevel="1" ht="14.45" customFormat="1" customHeight="1" s="202">
      <c r="B114" s="203" t="inlineStr">
        <is>
          <t>Inventory E&amp;O - Doki first generation units</t>
        </is>
      </c>
      <c r="C114" s="969" t="inlineStr">
        <is>
          <t>Audrey</t>
        </is>
      </c>
      <c r="E114" s="187" t="n"/>
      <c r="F114" s="1034" t="n">
        <v>43000</v>
      </c>
      <c r="G114" s="979">
        <f>SUM(E114:F114)</f>
        <v/>
      </c>
      <c r="H114" s="962" t="n"/>
      <c r="I114" s="962" t="n"/>
      <c r="J114" s="962" t="n"/>
      <c r="K114" s="962" t="n"/>
      <c r="L114" s="985" t="n"/>
      <c r="M114" s="969" t="n"/>
      <c r="N114" s="969" t="n"/>
      <c r="O114" s="969" t="n"/>
      <c r="P114" s="969" t="n"/>
      <c r="Q114" s="962" t="n"/>
      <c r="R114" s="962" t="n"/>
      <c r="S114" s="962" t="n"/>
      <c r="T114" s="962" t="n"/>
      <c r="U114" s="962" t="n"/>
      <c r="V114" s="962" t="n"/>
      <c r="W114" s="978">
        <f>G114+L114+Q114+V114</f>
        <v/>
      </c>
      <c r="X114" s="979" t="n"/>
      <c r="Y114" s="212" t="inlineStr">
        <is>
          <t>Part of working capital/purchase price negotiation - will either be paid by them before integration or posted against goodwill</t>
        </is>
      </c>
      <c r="AA114" s="216" t="n"/>
      <c r="AB114" s="216" t="n"/>
      <c r="AC114" s="216" t="n"/>
      <c r="AD114" s="216" t="n"/>
      <c r="AE114" s="216" t="n"/>
      <c r="AF114" s="216" t="n"/>
      <c r="AG114" s="216" t="n"/>
      <c r="AH114" s="216" t="n"/>
    </row>
    <row r="115" hidden="1" outlineLevel="1" customFormat="1" s="202">
      <c r="B115" s="203" t="inlineStr">
        <is>
          <t>Tata communications</t>
        </is>
      </c>
      <c r="C115" s="969" t="inlineStr">
        <is>
          <t>Audrey</t>
        </is>
      </c>
      <c r="E115" s="962" t="n"/>
      <c r="F115" s="969">
        <f>4000*12</f>
        <v/>
      </c>
      <c r="G115" s="962">
        <f>SUM(E115:F115)</f>
        <v/>
      </c>
      <c r="H115" s="969" t="n"/>
      <c r="I115" s="969" t="n"/>
      <c r="J115" s="969" t="n"/>
      <c r="K115" s="969" t="n"/>
      <c r="L115" s="985" t="n"/>
      <c r="M115" s="969" t="n"/>
      <c r="N115" s="969" t="n"/>
      <c r="O115" s="969" t="n"/>
      <c r="P115" s="969" t="n"/>
      <c r="Q115" s="962">
        <f>SUM(M115:P115)</f>
        <v/>
      </c>
      <c r="R115" s="969" t="n"/>
      <c r="S115" s="969" t="n"/>
      <c r="T115" s="969" t="n"/>
      <c r="U115" s="969" t="n"/>
      <c r="V115" s="962">
        <f>SUM(R115:U115)</f>
        <v/>
      </c>
      <c r="W115" s="1010">
        <f>G115+L115+Q115+V115</f>
        <v/>
      </c>
      <c r="X115" s="962" t="n"/>
      <c r="Y115" s="212" t="inlineStr">
        <is>
          <t>Part of working capital/purchase price negotiation - will either be paid by them before integration or posted against goodwill</t>
        </is>
      </c>
    </row>
    <row r="116" hidden="1" outlineLevel="1" ht="15.75" customFormat="1" customHeight="1" s="202" thickBot="1">
      <c r="B116" s="343" t="inlineStr">
        <is>
          <t>Total</t>
        </is>
      </c>
      <c r="C116" s="1081" t="n"/>
      <c r="D116" s="345" t="n"/>
      <c r="E116" s="1082" t="n"/>
      <c r="F116" s="1083">
        <f>SUM(F110:F115)</f>
        <v/>
      </c>
      <c r="G116" s="1084">
        <f>SUM(E116:F116)</f>
        <v/>
      </c>
      <c r="H116" s="1082" t="n"/>
      <c r="I116" s="1082" t="n"/>
      <c r="J116" s="1082" t="n"/>
      <c r="K116" s="1082" t="n"/>
      <c r="L116" s="1085" t="n"/>
      <c r="M116" s="1081" t="n"/>
      <c r="N116" s="1081" t="n"/>
      <c r="O116" s="1081" t="n"/>
      <c r="P116" s="1081" t="n"/>
      <c r="Q116" s="1082" t="n"/>
      <c r="R116" s="1081" t="n"/>
      <c r="S116" s="1081" t="n"/>
      <c r="T116" s="1081" t="n"/>
      <c r="U116" s="1081" t="n"/>
      <c r="V116" s="1082" t="n"/>
      <c r="W116" s="1086">
        <f>G116+L116+Q116+V116</f>
        <v/>
      </c>
      <c r="X116" s="979" t="n"/>
      <c r="Y116" s="212" t="inlineStr">
        <is>
          <t>Part of working capital/purchase price negotiation - will either be paid by them before integration or posted against goodwill</t>
        </is>
      </c>
    </row>
    <row r="117" hidden="1" outlineLevel="1" s="802">
      <c r="B117" s="456" t="inlineStr">
        <is>
          <t>Vacation accrual is not included as its immaterial</t>
        </is>
      </c>
      <c r="Y117" s="303" t="n"/>
      <c r="Z117" s="444" t="n"/>
      <c r="AA117" s="444" t="n"/>
      <c r="AB117" s="444" t="n"/>
      <c r="AC117" s="444" t="n"/>
      <c r="AD117" s="444" t="n"/>
      <c r="AE117" s="444" t="n"/>
      <c r="AF117" s="444" t="n"/>
      <c r="AG117" s="444" t="n"/>
      <c r="AH117" s="444" t="n"/>
      <c r="AI117" s="444" t="n"/>
      <c r="AJ117" s="444" t="n"/>
      <c r="AK117" s="444" t="n"/>
      <c r="AL117" s="444" t="n"/>
      <c r="AM117" s="444" t="n"/>
      <c r="AN117" s="444" t="n"/>
      <c r="AO117" s="444" t="n"/>
    </row>
    <row r="118" collapsed="1" s="802"/>
  </sheetData>
  <mergeCells count="18">
    <mergeCell ref="H9:L9"/>
    <mergeCell ref="Y52:AH52"/>
    <mergeCell ref="Y24:AH24"/>
    <mergeCell ref="Y63:AH63"/>
    <mergeCell ref="Y27:AH27"/>
    <mergeCell ref="Y65:AH65"/>
    <mergeCell ref="Y11:AH11"/>
    <mergeCell ref="Y50:AH50"/>
    <mergeCell ref="Y12:AH12"/>
    <mergeCell ref="Y22:AH22"/>
    <mergeCell ref="Y7:AO7"/>
    <mergeCell ref="E9:G9"/>
    <mergeCell ref="R9:V9"/>
    <mergeCell ref="Y64:AH64"/>
    <mergeCell ref="M9:Q9"/>
    <mergeCell ref="B7:W7"/>
    <mergeCell ref="AI29:AR29"/>
    <mergeCell ref="B6:W6"/>
  </mergeCells>
  <hyperlinks>
    <hyperlink xmlns:r="http://schemas.openxmlformats.org/officeDocument/2006/relationships" ref="AI29" display="HC Costs Copy of Delta Comp v2- 9.27.19 - Sent to Casper.xlsx" r:id="rId1"/>
  </hyperlinks>
  <pageMargins left="0.7" right="0.7" top="0.75" bottom="0.75" header="0.3" footer="0.3"/>
  <pageSetup orientation="portrait"/>
</worksheet>
</file>

<file path=xl/worksheets/sheet4.xml><?xml version="1.0" encoding="utf-8"?>
<worksheet xmlns="http://schemas.openxmlformats.org/spreadsheetml/2006/main">
  <sheetPr>
    <outlinePr summaryBelow="0" summaryRight="0"/>
    <pageSetUpPr/>
  </sheetPr>
  <dimension ref="A1:U20"/>
  <sheetViews>
    <sheetView showGridLines="0" topLeftCell="A4" zoomScale="70" zoomScaleNormal="70" workbookViewId="0">
      <selection activeCell="F20" sqref="F20"/>
    </sheetView>
  </sheetViews>
  <sheetFormatPr baseColWidth="8" defaultColWidth="14.42578125" defaultRowHeight="15.75" customHeight="1"/>
  <cols>
    <col width="11.28515625" customWidth="1" style="784" min="1" max="1"/>
    <col width="13.140625" customWidth="1" style="784" min="2" max="2"/>
    <col width="20.7109375" customWidth="1" style="784" min="3" max="3"/>
    <col width="20.85546875" customWidth="1" style="784" min="4" max="4"/>
    <col width="11.28515625" customWidth="1" style="784" min="5" max="9"/>
    <col width="15.140625" customWidth="1" style="784" min="10" max="10"/>
    <col width="17.5703125" customWidth="1" style="784" min="11" max="11"/>
    <col width="11.28515625" customWidth="1" style="784" min="12" max="12"/>
    <col width="14.42578125" customWidth="1" style="784" min="13" max="16384"/>
  </cols>
  <sheetData>
    <row r="1" ht="12.75" customHeight="1" s="802">
      <c r="A1" s="395" t="n"/>
      <c r="B1" s="395" t="n"/>
      <c r="C1" s="395" t="n"/>
      <c r="D1" s="395" t="n"/>
      <c r="E1" s="395" t="n"/>
      <c r="F1" s="395" t="n"/>
      <c r="G1" s="395" t="n"/>
      <c r="H1" s="395" t="n"/>
      <c r="I1" s="395" t="n"/>
      <c r="J1" s="395" t="n"/>
      <c r="K1" s="395" t="n"/>
      <c r="L1" s="395" t="n"/>
      <c r="M1" s="396" t="n"/>
      <c r="N1" s="396" t="n"/>
    </row>
    <row r="2" ht="12.75" customHeight="1" s="802">
      <c r="A2" s="398" t="n"/>
      <c r="B2" s="398" t="n"/>
      <c r="C2" s="398" t="n"/>
      <c r="D2" s="398" t="n"/>
      <c r="E2" s="398" t="n"/>
      <c r="F2" s="398" t="n"/>
      <c r="G2" s="398" t="n"/>
      <c r="H2" s="398" t="n"/>
      <c r="I2" s="398" t="n"/>
      <c r="J2" s="398" t="n"/>
      <c r="K2" s="398" t="n"/>
      <c r="L2" s="398" t="n"/>
    </row>
    <row r="3" ht="22.5" customHeight="1" s="802">
      <c r="A3" s="783" t="inlineStr">
        <is>
          <t>DokiPal Units as of September 1, 2019</t>
        </is>
      </c>
      <c r="M3" s="399" t="n"/>
      <c r="N3" s="399" t="n"/>
      <c r="O3" s="400" t="n"/>
      <c r="P3" s="400" t="n"/>
      <c r="Q3" s="400" t="n"/>
      <c r="R3" s="400" t="n"/>
      <c r="S3" s="400" t="n"/>
      <c r="T3" s="400" t="n"/>
      <c r="U3" s="400" t="n"/>
    </row>
    <row r="4" ht="13.5" customHeight="1" s="802" thickBot="1">
      <c r="A4" s="401" t="n"/>
      <c r="B4" s="402" t="n"/>
      <c r="C4" s="402" t="n"/>
      <c r="D4" s="402" t="n"/>
      <c r="E4" s="402" t="n"/>
      <c r="F4" s="402" t="n"/>
      <c r="G4" s="402" t="n"/>
      <c r="H4" s="402" t="n"/>
      <c r="I4" s="402" t="n"/>
      <c r="J4" s="402" t="n"/>
      <c r="K4" s="402" t="n"/>
      <c r="L4" s="402" t="n"/>
      <c r="M4" s="403" t="n"/>
      <c r="N4" s="403" t="n"/>
      <c r="O4" s="403" t="n"/>
      <c r="P4" s="403" t="n"/>
      <c r="Q4" s="403" t="n"/>
      <c r="R4" s="403" t="n"/>
      <c r="S4" s="403" t="n"/>
      <c r="T4" s="403" t="n"/>
      <c r="U4" s="403" t="n"/>
    </row>
    <row r="5" ht="115.5" customHeight="1" s="802" thickBot="1">
      <c r="A5" s="404" t="n"/>
      <c r="B5" s="405" t="inlineStr">
        <is>
          <t># in inventory at Doki</t>
        </is>
      </c>
      <c r="C5" s="406" t="inlineStr">
        <is>
          <t># w/ channel Partners</t>
        </is>
      </c>
      <c r="D5" s="407" t="inlineStr">
        <is>
          <t># sold into Market</t>
        </is>
      </c>
      <c r="E5" s="408" t="inlineStr">
        <is>
          <t>Sub-total Units</t>
        </is>
      </c>
      <c r="F5" s="408" t="inlineStr">
        <is>
          <t># activated</t>
        </is>
      </c>
      <c r="G5" s="408" t="inlineStr">
        <is>
          <t># active (last 30 days)</t>
        </is>
      </c>
      <c r="H5" s="408" t="inlineStr">
        <is>
          <t># active (last 6 Months) (i.e., pinged server at least once in last 6 months)</t>
        </is>
      </c>
      <c r="I5" s="408" t="inlineStr">
        <is>
          <t>Warranty Period Length</t>
        </is>
      </c>
      <c r="J5" s="408" t="inlineStr">
        <is>
          <t># units defective / warranty claim</t>
        </is>
      </c>
      <c r="K5" s="408" t="inlineStr">
        <is>
          <t>Cost of Replacements</t>
        </is>
      </c>
      <c r="L5" s="407" t="inlineStr">
        <is>
          <t># Still Under warranty</t>
        </is>
      </c>
      <c r="M5" s="409" t="n"/>
      <c r="N5" s="409" t="n"/>
      <c r="O5" s="403" t="n"/>
      <c r="P5" s="403" t="n"/>
      <c r="Q5" s="403" t="n"/>
      <c r="R5" s="403" t="n"/>
      <c r="S5" s="403" t="n"/>
      <c r="T5" s="403" t="n"/>
      <c r="U5" s="403" t="n"/>
    </row>
    <row r="6" ht="13.5" customHeight="1" s="802" thickBot="1">
      <c r="A6" s="410" t="n"/>
      <c r="B6" s="411" t="n">
        <v>3018</v>
      </c>
      <c r="C6" s="400" t="inlineStr">
        <is>
          <t>?</t>
        </is>
      </c>
      <c r="D6" s="412" t="n">
        <v>4982</v>
      </c>
      <c r="E6" s="413" t="n">
        <v>8000</v>
      </c>
      <c r="F6" s="414" t="n">
        <v>2221</v>
      </c>
      <c r="G6" s="415" t="n">
        <v>2221</v>
      </c>
      <c r="H6" s="416" t="n">
        <v>2221</v>
      </c>
      <c r="I6" s="414" t="inlineStr">
        <is>
          <t>12 months</t>
        </is>
      </c>
      <c r="J6" s="415" t="n">
        <v>55</v>
      </c>
      <c r="K6" s="415" t="inlineStr">
        <is>
          <t>$65/ unit</t>
        </is>
      </c>
      <c r="L6" s="412" t="inlineStr">
        <is>
          <t>All</t>
        </is>
      </c>
    </row>
    <row r="7" ht="13.5" customHeight="1" s="802" thickBot="1">
      <c r="A7" s="410" t="n"/>
      <c r="B7" s="411" t="n"/>
      <c r="C7" s="400" t="n"/>
      <c r="D7" s="412" t="n"/>
      <c r="E7" s="413" t="n"/>
      <c r="F7" s="414" t="n"/>
      <c r="G7" s="415" t="n"/>
      <c r="H7" s="416" t="n"/>
      <c r="I7" s="414" t="n"/>
      <c r="J7" s="415" t="n"/>
      <c r="K7" s="415" t="n"/>
      <c r="L7" s="412" t="n"/>
    </row>
    <row r="8" ht="51.75" customHeight="1" s="802" thickBot="1">
      <c r="A8" s="410" t="n"/>
      <c r="B8" s="411" t="n"/>
      <c r="C8" s="417" t="inlineStr">
        <is>
          <t>We don't have visibility on the # of units our distributors/ retailers have in stock</t>
        </is>
      </c>
      <c r="D8" s="418" t="inlineStr">
        <is>
          <t>This is the total # of units we sold through wholesale and online channels</t>
        </is>
      </c>
      <c r="E8" s="413" t="n"/>
      <c r="F8" s="414" t="n"/>
      <c r="G8" s="415" t="n"/>
      <c r="H8" s="416" t="n"/>
      <c r="I8" s="414" t="n"/>
      <c r="J8" s="415" t="n"/>
      <c r="K8" s="415" t="n"/>
      <c r="L8" s="412" t="n"/>
    </row>
    <row r="9" ht="13.5" customHeight="1" s="802" thickBot="1">
      <c r="A9" s="410" t="n"/>
      <c r="B9" s="419" t="n"/>
      <c r="D9" s="420" t="n"/>
      <c r="E9" s="421" t="n"/>
      <c r="F9" s="422" t="n"/>
      <c r="G9" s="423" t="n"/>
      <c r="H9" s="424" t="n"/>
      <c r="I9" s="422" t="n"/>
      <c r="J9" s="423" t="n"/>
      <c r="K9" s="423" t="n"/>
      <c r="L9" s="420" t="n"/>
    </row>
    <row r="10" ht="13.5" customHeight="1" s="802" thickBot="1">
      <c r="A10" s="410" t="n"/>
      <c r="B10" s="419" t="n"/>
      <c r="D10" s="420" t="n"/>
      <c r="E10" s="421" t="n"/>
      <c r="F10" s="422" t="n"/>
      <c r="G10" s="423" t="n"/>
      <c r="H10" s="424" t="n"/>
      <c r="I10" s="422" t="n"/>
      <c r="J10" s="423" t="n"/>
      <c r="K10" s="423" t="n"/>
      <c r="L10" s="420" t="n"/>
    </row>
    <row r="11" ht="13.5" customHeight="1" s="802" thickBot="1">
      <c r="A11" s="410" t="n"/>
      <c r="B11" s="419" t="n"/>
      <c r="D11" s="420" t="n"/>
      <c r="E11" s="421" t="n"/>
      <c r="F11" s="422" t="n"/>
      <c r="G11" s="423" t="n"/>
      <c r="H11" s="424" t="n"/>
      <c r="I11" s="422" t="n"/>
      <c r="J11" s="423" t="n"/>
      <c r="K11" s="423" t="n"/>
      <c r="L11" s="420" t="n"/>
    </row>
    <row r="12" ht="13.5" customHeight="1" s="802" thickBot="1">
      <c r="A12" s="410" t="n"/>
      <c r="B12" s="422" t="n"/>
      <c r="C12" s="423" t="n"/>
      <c r="D12" s="424" t="n"/>
      <c r="E12" s="421">
        <f>D6-F6</f>
        <v/>
      </c>
      <c r="F12" s="422" t="n"/>
      <c r="G12" s="423" t="n"/>
      <c r="H12" s="424" t="n"/>
      <c r="I12" s="422" t="n"/>
      <c r="J12" s="423" t="n"/>
      <c r="K12" s="423" t="n"/>
      <c r="L12" s="424" t="n"/>
    </row>
    <row r="14" ht="15.75" customHeight="1" s="802">
      <c r="B14" s="425" t="inlineStr">
        <is>
          <t>Added by LB:</t>
        </is>
      </c>
    </row>
    <row r="15" ht="15.75" customHeight="1" s="802">
      <c r="B15" s="426" t="inlineStr">
        <is>
          <t>Invoice price disti would have paid</t>
        </is>
      </c>
      <c r="E15" s="784">
        <f>180*60%</f>
        <v/>
      </c>
      <c r="M15" s="429" t="inlineStr">
        <is>
          <t>Q for Audrey - why multiply by 40% for returns?</t>
        </is>
      </c>
    </row>
    <row r="16" ht="15.75" customHeight="1" s="802">
      <c r="A16" s="427" t="n">
        <v>0.1</v>
      </c>
      <c r="B16" s="426" t="inlineStr">
        <is>
          <t>10% mark up to incentivise partners to return stock</t>
        </is>
      </c>
      <c r="E16" s="428">
        <f>E15*(1+A16)</f>
        <v/>
      </c>
    </row>
    <row r="18" ht="15.75" customHeight="1" s="802">
      <c r="B18" s="426" t="inlineStr">
        <is>
          <t>% of units able to repurchase</t>
        </is>
      </c>
      <c r="E18" s="427" t="n">
        <v>0.4</v>
      </c>
      <c r="F18" s="427" t="n">
        <v>0.5</v>
      </c>
      <c r="G18" s="427" t="n">
        <v>0.6</v>
      </c>
      <c r="H18" s="427" t="n">
        <v>0.7</v>
      </c>
      <c r="I18" s="427" t="n">
        <v>0.8</v>
      </c>
      <c r="J18" s="427" t="n">
        <v>0.9</v>
      </c>
      <c r="K18" s="427" t="n">
        <v>1</v>
      </c>
      <c r="M18" s="429" t="inlineStr">
        <is>
          <t>This is a q for Bobinder?</t>
        </is>
      </c>
    </row>
    <row r="20" ht="15.75" customHeight="1" s="802">
      <c r="E20" s="453">
        <f>($E$12*E18)*$E$16</f>
        <v/>
      </c>
      <c r="F20" s="452">
        <f>($E$12*F18)*$E$16</f>
        <v/>
      </c>
      <c r="G20" s="453">
        <f>($E$12*G18)*$E$16</f>
        <v/>
      </c>
      <c r="H20" s="453">
        <f>($E$12*H18)*$E$16</f>
        <v/>
      </c>
      <c r="I20" s="453">
        <f>($E$12*I18)*$E$16</f>
        <v/>
      </c>
      <c r="J20" s="453">
        <f>($E$12*J18)*$E$16</f>
        <v/>
      </c>
      <c r="K20" s="453">
        <f>($E$12*K18)*$E$16</f>
        <v/>
      </c>
      <c r="M20" s="216" t="inlineStr">
        <is>
          <t>Will we write these off/keep them for returns/warranty (in which case a double hit to the p&amp;l is showing)?</t>
        </is>
      </c>
    </row>
  </sheetData>
  <mergeCells count="1">
    <mergeCell ref="A3:L3"/>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2:V2"/>
  <sheetViews>
    <sheetView showGridLines="0" workbookViewId="0">
      <selection activeCell="C29" sqref="C29"/>
    </sheetView>
  </sheetViews>
  <sheetFormatPr baseColWidth="8" defaultRowHeight="15"/>
  <sheetData>
    <row r="2" ht="59.1" customHeight="1" s="802">
      <c r="B2" s="1087" t="inlineStr">
        <is>
          <t>We wanted also to get back to the group on the stamp duty.  The current rate of stamp duty is an aggregate of 0.2 percent (0.1 percent payable by each of Seller and Buyer) of the higher of (i) the purchase price or (ii) the value of the stock, which is typically the net asset value of the target as shown in its latest audited accounts. The determination of the purchase price (assuming it exceeds NAV) would (1) take into account any purchase price adjustments e.g. working capital adjustment and (2) include the maximum amount of the earnout. Fyi, there is an opportunity to apply for a refund of excessive stamp duty paid if turns out the actual earnout is less than the maximum, but the period to do so is limited to 2 years.</t>
        </is>
      </c>
    </row>
  </sheetData>
  <mergeCells count="1">
    <mergeCell ref="B2: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41"/>
  <sheetViews>
    <sheetView showGridLines="0" topLeftCell="A28" zoomScale="60" zoomScaleNormal="60" workbookViewId="0">
      <selection activeCell="I41" sqref="I41"/>
    </sheetView>
  </sheetViews>
  <sheetFormatPr baseColWidth="8" defaultColWidth="14.42578125" defaultRowHeight="15" customHeight="1" outlineLevelRow="2"/>
  <cols>
    <col width="34.5703125" customWidth="1" style="802" min="1" max="1"/>
    <col width="106.85546875" customWidth="1" style="802" min="2" max="2"/>
    <col hidden="1" outlineLevel="1" width="20.85546875" customWidth="1" style="802" min="3" max="3"/>
    <col hidden="1" outlineLevel="1" width="20.7109375" customWidth="1" style="802" min="4" max="4"/>
    <col hidden="1" outlineLevel="1" width="9.42578125" customWidth="1" style="802" min="5" max="5"/>
    <col hidden="1" outlineLevel="1" width="17.140625" customWidth="1" style="802" min="6" max="6"/>
    <col hidden="1" outlineLevel="1" width="17.28515625" customWidth="1" style="802" min="7" max="7"/>
    <col collapsed="1" width="9.85546875" customWidth="1" style="802" min="8" max="8"/>
    <col width="9.85546875" customWidth="1" style="802" min="9"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idden="1" outlineLevel="1"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2"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idden="1" outlineLevel="1"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hidden="1" outlineLevel="1" s="802">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hidden="1" outlineLevel="1" s="802">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hidden="1" outlineLevel="1" s="802">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hidden="1" outlineLevel="1" s="802">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hidden="1" outlineLevel="1" s="802">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hidden="1" outlineLevel="1" s="802">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hidden="1" outlineLevel="1" s="80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hidden="1" outlineLevel="1" s="802">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hidden="1" outlineLevel="1" s="802">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hidden="1" outlineLevel="1" s="802">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hidden="1" outlineLevel="1" s="802">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hidden="1" outlineLevel="1" s="802">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hidden="1" outlineLevel="1" s="802">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hidden="1" outlineLevel="1" s="802">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hidden="1" outlineLevel="1" s="802">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hidden="1" outlineLevel="1" s="802">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hidden="1" outlineLevel="1" s="80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hidden="1" outlineLevel="1" s="802">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hidden="1" outlineLevel="1" s="802">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hidden="1" outlineLevel="1" s="802">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ollapsed="1" s="802">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ht="15.75" customHeight="1" s="802">
      <c r="A29" s="119" t="inlineStr">
        <is>
          <t>LB (Based on email from Paul Quinn)</t>
        </is>
      </c>
      <c r="B29" s="451" t="inlineStr">
        <is>
          <t>Agora</t>
        </is>
      </c>
      <c r="C29" s="77" t="inlineStr">
        <is>
          <t>Set up a new Fitbit owned Agora account - 10k to 50k</t>
        </is>
      </c>
      <c r="D29" s="85" t="inlineStr">
        <is>
          <t>Shares video calling API use with another company. This may incur unforeseen costs as we support their existing in-market devices for a yea</t>
        </is>
      </c>
      <c r="E29" s="86" t="n"/>
      <c r="F29" s="87" t="n"/>
      <c r="G29" s="1100" t="n"/>
      <c r="H29" s="1101" t="n"/>
      <c r="I29" s="1102">
        <f>50000/4</f>
        <v/>
      </c>
      <c r="J29" s="1102">
        <f>I29</f>
        <v/>
      </c>
      <c r="K29" s="1102">
        <f>J29</f>
        <v/>
      </c>
      <c r="L29" s="1102">
        <f>K29</f>
        <v/>
      </c>
      <c r="M29" s="1102" t="n"/>
      <c r="N29" s="1102" t="n"/>
      <c r="O29" s="1102" t="n"/>
      <c r="P29" s="1102" t="n"/>
      <c r="Q29" s="1102" t="n"/>
      <c r="R29" s="1102" t="n"/>
      <c r="S29" s="1102" t="n"/>
    </row>
    <row r="31" ht="105" customHeight="1" s="802">
      <c r="A31" s="77" t="inlineStr">
        <is>
          <t>Engineering</t>
        </is>
      </c>
      <c r="B31" s="451" t="inlineStr">
        <is>
          <t>licensing for devt tools - current employees</t>
        </is>
      </c>
      <c r="C31" s="77" t="inlineStr">
        <is>
          <t>Licensing for development tools</t>
        </is>
      </c>
      <c r="D31" s="1103" t="n"/>
      <c r="E31" s="1103" t="n"/>
      <c r="F31" s="1104" t="n"/>
      <c r="G31" s="1105" t="inlineStr">
        <is>
          <t>$500 per engineering employee per year listed above (new hire) - for above people in Hong Kong office</t>
        </is>
      </c>
      <c r="H31" s="1101" t="n"/>
      <c r="I31" s="1102">
        <f>'I. TECH'!J26*(500/4)</f>
        <v/>
      </c>
      <c r="J31" s="1102">
        <f>'I. TECH'!K26*(500/4)</f>
        <v/>
      </c>
      <c r="K31" s="1102">
        <f>'I. TECH'!L26*(500/4)</f>
        <v/>
      </c>
      <c r="L31" s="1102">
        <f>'I. TECH'!M26*(500/4)</f>
        <v/>
      </c>
      <c r="M31" s="1102">
        <f>'I. TECH'!N26*(500/4)</f>
        <v/>
      </c>
      <c r="N31" s="1102">
        <f>'I. TECH'!O26*(500/4)</f>
        <v/>
      </c>
      <c r="O31" s="1102">
        <f>'I. TECH'!P26*(500/4)</f>
        <v/>
      </c>
      <c r="P31" s="1102">
        <f>'I. TECH'!Q26*(500/4)</f>
        <v/>
      </c>
      <c r="Q31" s="1102">
        <f>'I. TECH'!R26*(500/4)</f>
        <v/>
      </c>
      <c r="R31" s="1102">
        <f>'I. TECH'!S26*(500/4)</f>
        <v/>
      </c>
      <c r="S31" s="1102">
        <f>'I. TECH'!T26*(500/4)</f>
        <v/>
      </c>
    </row>
    <row r="32" ht="105" customHeight="1" s="802">
      <c r="A32" s="77" t="n"/>
      <c r="B32" s="451" t="inlineStr">
        <is>
          <t>licensing for devt tools - new employees</t>
        </is>
      </c>
      <c r="C32" s="77" t="n"/>
      <c r="D32" s="77" t="n"/>
      <c r="E32" s="77" t="n"/>
      <c r="F32" s="77" t="n"/>
      <c r="G32" s="1105" t="inlineStr">
        <is>
          <t>$500 per engineering employee per year listed above (existing ) - for above people in Hong Kong office</t>
        </is>
      </c>
      <c r="H32" s="1101" t="n"/>
      <c r="I32" s="1102">
        <f>14*(500/4)</f>
        <v/>
      </c>
      <c r="J32" s="1102">
        <f>14*(500/4)</f>
        <v/>
      </c>
      <c r="K32" s="1102">
        <f>14*(500/4)</f>
        <v/>
      </c>
      <c r="L32" s="1102">
        <f>14*(500/4)</f>
        <v/>
      </c>
      <c r="M32" s="1102">
        <f>14*(500/4)</f>
        <v/>
      </c>
      <c r="N32" s="1102">
        <f>14*(500/4)</f>
        <v/>
      </c>
      <c r="O32" s="1102">
        <f>14*(500/4)</f>
        <v/>
      </c>
      <c r="P32" s="1102">
        <f>14*(500/4)</f>
        <v/>
      </c>
      <c r="Q32" s="1102">
        <f>14*(500/4)</f>
        <v/>
      </c>
      <c r="R32" s="1102">
        <f>14*(500/4)</f>
        <v/>
      </c>
      <c r="S32" s="1102">
        <f>14*(500/4)</f>
        <v/>
      </c>
    </row>
    <row r="33">
      <c r="A33" s="77" t="inlineStr">
        <is>
          <t>Ryan Krems</t>
        </is>
      </c>
      <c r="B33" s="77" t="inlineStr">
        <is>
          <t>Product</t>
        </is>
      </c>
      <c r="C33" s="77" t="inlineStr">
        <is>
          <t>Recruiting Budget</t>
        </is>
      </c>
      <c r="D33" s="77" t="inlineStr">
        <is>
          <t>Need to get new-hires on-board  - 2 months of average salary per new hire</t>
        </is>
      </c>
      <c r="E33" s="1103" t="n"/>
      <c r="F33" s="1103" t="n"/>
      <c r="G33" s="1104" t="n"/>
      <c r="H33" s="1100" t="n"/>
      <c r="I33" s="1102"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ht="15.75" customHeight="1" s="802">
      <c r="A35" s="119" t="inlineStr">
        <is>
          <t>adde by LB based on email from Ryan</t>
        </is>
      </c>
      <c r="B35" s="359" t="inlineStr">
        <is>
          <t>For 4Q2019 only as we will want to support the PRC mode for a limited time only.</t>
        </is>
      </c>
      <c r="D35" s="77" t="inlineStr">
        <is>
          <t>alibaba cloud</t>
        </is>
      </c>
      <c r="E35" s="1103" t="n"/>
      <c r="F35" s="1104" t="n"/>
      <c r="G35" s="1100" t="n"/>
      <c r="H35" s="1107" t="n"/>
      <c r="I35" s="1102" t="n">
        <v>1000</v>
      </c>
      <c r="J35" s="1102" t="n"/>
      <c r="K35" s="1102" t="n"/>
      <c r="L35" s="1102" t="n"/>
      <c r="M35" s="1102" t="n"/>
      <c r="N35" s="1102" t="n"/>
      <c r="O35" s="1102" t="n"/>
      <c r="P35" s="1102" t="n"/>
      <c r="Q35" s="1102" t="n"/>
      <c r="R35" s="1102" t="n"/>
      <c r="S35" s="1102" t="n"/>
    </row>
    <row r="36" ht="15.75" customHeight="1" s="802">
      <c r="A36" s="119" t="inlineStr">
        <is>
          <t>adde by LB based on email from Ryan</t>
        </is>
      </c>
      <c r="B36" s="359" t="inlineStr">
        <is>
          <t>Github - Yes - Through 4Q2020 (small amount, want to make sure it isn't effecting their work flow for existing users)</t>
        </is>
      </c>
      <c r="C36" s="60" t="n"/>
      <c r="D36" s="77" t="n"/>
      <c r="E36" s="1103" t="n"/>
      <c r="F36" s="1104" t="n"/>
      <c r="G36" s="1100" t="n"/>
      <c r="H36" s="1107" t="n"/>
      <c r="I36" s="1102">
        <f>344/8*3</f>
        <v/>
      </c>
      <c r="J36" s="1102">
        <f>I36</f>
        <v/>
      </c>
      <c r="K36" s="1102">
        <f>J36</f>
        <v/>
      </c>
      <c r="L36" s="1102">
        <f>K36</f>
        <v/>
      </c>
      <c r="M36" s="1102">
        <f>L36</f>
        <v/>
      </c>
      <c r="N36" s="1102" t="n"/>
      <c r="O36" s="1102" t="n"/>
      <c r="P36" s="1102" t="n"/>
      <c r="Q36" s="1102" t="n"/>
      <c r="R36" s="1102" t="n"/>
      <c r="S36" s="1102" t="n"/>
    </row>
    <row r="37" ht="15.75" customHeight="1" s="802">
      <c r="A37" s="119" t="inlineStr">
        <is>
          <t>adde by LB based on email from Ryan</t>
        </is>
      </c>
      <c r="B37" s="359" t="inlineStr">
        <is>
          <t>Mailchimp - Yes - Through 4Q2020 (would expect this to be a much smaller amount that they were having before)</t>
        </is>
      </c>
      <c r="C37" s="60" t="n"/>
      <c r="D37" s="77" t="n"/>
      <c r="E37" s="1103" t="n"/>
      <c r="F37" s="1104" t="n"/>
      <c r="G37" s="1100" t="n"/>
      <c r="H37" s="1107" t="n"/>
      <c r="I37" s="1102">
        <f>1600/8*3</f>
        <v/>
      </c>
      <c r="J37" s="1102">
        <f>I37</f>
        <v/>
      </c>
      <c r="K37" s="1102">
        <f>J37</f>
        <v/>
      </c>
      <c r="L37" s="1102">
        <f>K37</f>
        <v/>
      </c>
      <c r="M37" s="1102">
        <f>L37</f>
        <v/>
      </c>
      <c r="N37" s="1102" t="n"/>
      <c r="O37" s="1102" t="n"/>
      <c r="P37" s="1102" t="n"/>
      <c r="Q37" s="1102" t="n"/>
      <c r="R37" s="1102" t="n"/>
      <c r="S37" s="1102" t="n"/>
    </row>
    <row r="38" ht="15.75" customHeight="1" s="802">
      <c r="A38" s="119" t="inlineStr">
        <is>
          <t>adde by LB based on email from Ryan</t>
        </is>
      </c>
      <c r="B38" s="359" t="inlineStr">
        <is>
          <t>Linode - Yes - Through 4Q2020 (not sure what they are using for, but a really small amount)</t>
        </is>
      </c>
      <c r="C38" s="77" t="n"/>
      <c r="D38" s="77" t="n"/>
      <c r="E38" s="1103" t="n"/>
      <c r="F38" s="1104" t="n"/>
      <c r="G38" s="1100" t="n"/>
      <c r="H38" s="1107" t="n"/>
      <c r="I38" s="1102">
        <f>80/8*3</f>
        <v/>
      </c>
      <c r="J38" s="1102">
        <f>I38</f>
        <v/>
      </c>
      <c r="K38" s="1102">
        <f>J38</f>
        <v/>
      </c>
      <c r="L38" s="1102">
        <f>K38</f>
        <v/>
      </c>
      <c r="M38" s="1102">
        <f>L38</f>
        <v/>
      </c>
      <c r="N38" s="1102" t="n"/>
      <c r="O38" s="1102" t="n"/>
      <c r="P38" s="1102" t="n"/>
      <c r="Q38" s="1102" t="n"/>
      <c r="R38" s="1102" t="n"/>
      <c r="S38" s="1102" t="n"/>
    </row>
    <row r="39" ht="15.75" customHeight="1" s="802">
      <c r="A39" s="119" t="inlineStr">
        <is>
          <t>adde by LB based on email from Ryan</t>
        </is>
      </c>
      <c r="B39" s="359" t="inlineStr">
        <is>
          <t>AWS - Yes - Through 4Q2020 (this is to support their current user base)</t>
        </is>
      </c>
      <c r="C39" s="77" t="n"/>
      <c r="D39" s="77" t="n"/>
      <c r="E39" s="1103" t="n"/>
      <c r="F39" s="1104" t="n"/>
      <c r="G39" s="1100" t="n"/>
      <c r="H39" s="1101" t="n"/>
      <c r="I39" s="1106">
        <f>7081/8*3</f>
        <v/>
      </c>
      <c r="J39" s="1106">
        <f>I39</f>
        <v/>
      </c>
      <c r="K39" s="1106">
        <f>J39</f>
        <v/>
      </c>
      <c r="L39" s="1106">
        <f>K39</f>
        <v/>
      </c>
      <c r="M39" s="1106">
        <f>L39</f>
        <v/>
      </c>
      <c r="N39" s="1106" t="n"/>
      <c r="O39" s="1106" t="n"/>
      <c r="P39" s="1106" t="n"/>
      <c r="Q39" s="1106" t="n"/>
      <c r="R39" s="1106" t="n"/>
      <c r="S39" s="1106" t="n"/>
    </row>
    <row r="40" ht="15.75" customHeight="1" s="802">
      <c r="A40" s="119" t="inlineStr">
        <is>
          <t>adde by LB based on email from Ryan</t>
        </is>
      </c>
      <c r="B40" s="359" t="inlineStr">
        <is>
          <t>Google Cloud - Yes - Through 4Q2019 (expect these to all be rolled over to Fitbit infra by EOY)</t>
        </is>
      </c>
      <c r="C40" s="77" t="n"/>
      <c r="D40" s="77" t="n"/>
      <c r="E40" s="1103" t="n"/>
      <c r="F40" s="1104" t="n"/>
      <c r="G40" s="1108" t="n"/>
      <c r="H40" s="1109" t="n"/>
      <c r="I40" s="1110">
        <f>16400/8*3</f>
        <v/>
      </c>
      <c r="J40" s="1110" t="n"/>
      <c r="K40" s="1110" t="n"/>
      <c r="L40" s="1110" t="n"/>
      <c r="M40" s="1110" t="n"/>
      <c r="N40" s="1110" t="n"/>
      <c r="O40" s="1110" t="n"/>
      <c r="P40" s="1110" t="n"/>
      <c r="Q40" s="1110" t="n"/>
      <c r="R40" s="1110" t="n"/>
      <c r="S40" s="1110" t="n"/>
    </row>
    <row r="41">
      <c r="G41" s="1111">
        <f>SUM(G29:G40)</f>
        <v/>
      </c>
      <c r="H41" s="1112">
        <f>SUM(H29:H34)</f>
        <v/>
      </c>
      <c r="I41" s="1111">
        <f>SUM(I29:I40)</f>
        <v/>
      </c>
      <c r="J41" s="1111">
        <f>SUM(J29:J40)</f>
        <v/>
      </c>
      <c r="K41" s="1111">
        <f>SUM(K29:K40)</f>
        <v/>
      </c>
      <c r="L41" s="1111">
        <f>SUM(L29:L40)</f>
        <v/>
      </c>
      <c r="M41" s="1111">
        <f>SUM(M29:M40)</f>
        <v/>
      </c>
      <c r="N41" s="1111">
        <f>SUM(N29:N40)</f>
        <v/>
      </c>
      <c r="O41" s="1111">
        <f>SUM(O29:O40)</f>
        <v/>
      </c>
      <c r="P41" s="1111">
        <f>SUM(P29:P40)</f>
        <v/>
      </c>
      <c r="Q41" s="1111">
        <f>SUM(Q29:Q40)</f>
        <v/>
      </c>
      <c r="R41" s="1111">
        <f>SUM(R29:R40)</f>
        <v/>
      </c>
      <c r="S41" s="1111">
        <f>SUM(S29:S40)</f>
        <v/>
      </c>
    </row>
  </sheetData>
  <mergeCells count="18">
    <mergeCell ref="J27:M27"/>
    <mergeCell ref="D38:F38"/>
    <mergeCell ref="N27:Q27"/>
    <mergeCell ref="C31:F31"/>
    <mergeCell ref="D28:F28"/>
    <mergeCell ref="D37:F37"/>
    <mergeCell ref="D34:F34"/>
    <mergeCell ref="J3:M3"/>
    <mergeCell ref="D40:F40"/>
    <mergeCell ref="D35:F35"/>
    <mergeCell ref="D36:F36"/>
    <mergeCell ref="N3:Q3"/>
    <mergeCell ref="D33:G33"/>
    <mergeCell ref="R3:S3"/>
    <mergeCell ref="D39:F39"/>
    <mergeCell ref="R27:S27"/>
    <mergeCell ref="H27:I27"/>
    <mergeCell ref="H3:I3"/>
  </mergeCells>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T41"/>
  <sheetViews>
    <sheetView showGridLines="0" zoomScale="80" zoomScaleNormal="80" workbookViewId="0">
      <selection activeCell="A3" sqref="A3:XFD25"/>
    </sheetView>
  </sheetViews>
  <sheetFormatPr baseColWidth="8" defaultColWidth="14.42578125" defaultRowHeight="15" customHeight="1" outlineLevelRow="2"/>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idden="1" outlineLevel="1"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2"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idden="1" outlineLevel="1"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hidden="1" outlineLevel="1" s="802">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hidden="1" outlineLevel="1" s="802">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hidden="1" outlineLevel="1" s="802">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hidden="1" outlineLevel="1" s="802">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hidden="1" outlineLevel="1" s="802">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hidden="1" outlineLevel="1" s="802">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hidden="1" outlineLevel="1" s="80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hidden="1" outlineLevel="1" s="802">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hidden="1" outlineLevel="1" s="802">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hidden="1" outlineLevel="1" s="802">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hidden="1" outlineLevel="1" s="802">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hidden="1" outlineLevel="1" s="802">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hidden="1" outlineLevel="1" s="802">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hidden="1" outlineLevel="1" s="802">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hidden="1" outlineLevel="1" s="802">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hidden="1" outlineLevel="1" s="802">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hidden="1" outlineLevel="1" s="80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hidden="1" outlineLevel="1" s="802">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hidden="1" outlineLevel="1" s="802">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hidden="1" outlineLevel="1" s="802">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ollapsed="1" s="802">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inlineStr">
        <is>
          <t>Heather</t>
        </is>
      </c>
      <c r="B29" s="77" t="inlineStr">
        <is>
          <t>Accounting</t>
        </is>
      </c>
      <c r="C29" s="77" t="inlineStr">
        <is>
          <t>Valuation PPA</t>
        </is>
      </c>
      <c r="D29" s="77" t="inlineStr">
        <is>
          <t>Valuation of Intangibles &amp; Goodwill</t>
        </is>
      </c>
      <c r="E29" s="1103" t="n"/>
      <c r="F29" s="1104" t="n"/>
      <c r="G29" s="1100">
        <f>I29</f>
        <v/>
      </c>
      <c r="H29" s="1101" t="n"/>
      <c r="I29" s="1102" t="n">
        <v>15000</v>
      </c>
      <c r="J29" s="1102" t="n"/>
      <c r="K29" s="1102" t="n"/>
      <c r="L29" s="1102" t="n"/>
      <c r="M29" s="1102" t="n"/>
      <c r="N29" s="1102" t="n"/>
      <c r="O29" s="1102" t="n"/>
      <c r="P29" s="1102" t="n"/>
      <c r="Q29" s="1102" t="n"/>
      <c r="R29" s="1102" t="n"/>
      <c r="S29" s="1102" t="n"/>
    </row>
    <row r="30">
      <c r="A30" s="77" t="inlineStr">
        <is>
          <t>Heather</t>
        </is>
      </c>
      <c r="B30" s="77" t="inlineStr">
        <is>
          <t>Accounting</t>
        </is>
      </c>
      <c r="C30" s="77" t="inlineStr">
        <is>
          <t>GT PPA Review</t>
        </is>
      </c>
      <c r="D30" s="77" t="inlineStr">
        <is>
          <t>External Audit Review of Valuation</t>
        </is>
      </c>
      <c r="E30" s="1103" t="n"/>
      <c r="F30" s="1104" t="n"/>
      <c r="G30" s="1100">
        <f>I30</f>
        <v/>
      </c>
      <c r="H30" s="1101" t="n"/>
      <c r="I30" s="1102" t="n">
        <v>30000</v>
      </c>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T41"/>
  <sheetViews>
    <sheetView showGridLines="0" topLeftCell="C1" zoomScale="80" zoomScaleNormal="80" workbookViewId="0">
      <selection activeCell="J30" sqref="J30:M30"/>
    </sheetView>
  </sheetViews>
  <sheetFormatPr baseColWidth="8" defaultColWidth="14.42578125" defaultRowHeight="15" customHeight="1" outlineLevelRow="2"/>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9"/>
    <col width="11.5703125" customWidth="1" style="802" min="10" max="10"/>
    <col width="12.5703125" customWidth="1" style="802" min="11" max="11"/>
    <col width="12" customWidth="1" style="802" min="12" max="12"/>
    <col width="9.85546875" customWidth="1" style="802" min="13"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idden="1" outlineLevel="1"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2"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idden="1" outlineLevel="1"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hidden="1" outlineLevel="1" s="802">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hidden="1" outlineLevel="1" s="802">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hidden="1" outlineLevel="1" s="802">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hidden="1" outlineLevel="1" s="802">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hidden="1" outlineLevel="1" s="802">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hidden="1" outlineLevel="1" s="802">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hidden="1" outlineLevel="1" s="80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hidden="1" outlineLevel="1" s="802">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hidden="1" outlineLevel="1" s="802">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hidden="1" outlineLevel="1" s="802">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hidden="1" outlineLevel="1" s="802">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hidden="1" outlineLevel="1" s="802">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hidden="1" outlineLevel="1" s="802">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hidden="1" outlineLevel="1" s="802">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hidden="1" outlineLevel="1" s="802">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hidden="1" outlineLevel="1" s="802">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hidden="1" outlineLevel="1" s="80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hidden="1" outlineLevel="1" s="802">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hidden="1" outlineLevel="1" s="802">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hidden="1" outlineLevel="1" s="802">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ollapsed="1" s="802">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inlineStr">
        <is>
          <t>Peter Schaffer</t>
        </is>
      </c>
      <c r="B29" s="77" t="inlineStr">
        <is>
          <t>Delta</t>
        </is>
      </c>
      <c r="C29" s="77" t="inlineStr">
        <is>
          <t>Rent-Current premises</t>
        </is>
      </c>
      <c r="D29" s="77" t="inlineStr">
        <is>
          <t>Office Space -lease obligation through 6/31/2020</t>
        </is>
      </c>
      <c r="E29" s="1103" t="n"/>
      <c r="F29" s="1104" t="n"/>
      <c r="G29" s="1100">
        <f>SUM(I29:M29)</f>
        <v/>
      </c>
      <c r="H29" s="1094" t="n"/>
      <c r="I29" s="1094" t="n">
        <v>22963</v>
      </c>
      <c r="J29" s="1094" t="n">
        <v>22963</v>
      </c>
      <c r="K29" s="1094" t="n">
        <v>22963</v>
      </c>
      <c r="L29" s="1094" t="n"/>
      <c r="M29" s="1094" t="n"/>
      <c r="N29" s="1102" t="n"/>
      <c r="O29" s="1102" t="n"/>
      <c r="P29" s="1102" t="n"/>
      <c r="Q29" s="1102" t="n"/>
      <c r="R29" s="1102" t="n"/>
      <c r="S29" s="1102" t="n"/>
    </row>
    <row r="30">
      <c r="A30" s="77" t="inlineStr">
        <is>
          <t>Nish,Peter&amp;LB Email</t>
        </is>
      </c>
      <c r="B30" s="77" t="inlineStr">
        <is>
          <t>Workplace</t>
        </is>
      </c>
      <c r="C30" s="77" t="inlineStr">
        <is>
          <t>"Base" Rent for WeWork</t>
        </is>
      </c>
      <c r="D30" s="156" t="inlineStr">
        <is>
          <t>Assumes 26 heads Q1 - 28 heads Q3 - flat at 28 forward -            numbers reflect cost to secure the space in Q1</t>
        </is>
      </c>
      <c r="E30" s="1103" t="n"/>
      <c r="F30" s="1104" t="n"/>
      <c r="G30" s="1100">
        <f>SUM(I30:O30)</f>
        <v/>
      </c>
      <c r="H30" s="1101" t="n"/>
      <c r="I30" s="1102" t="n"/>
      <c r="J30" s="1102">
        <f>(28*1839)*3</f>
        <v/>
      </c>
      <c r="K30" s="1102">
        <f>(28*1839)*3</f>
        <v/>
      </c>
      <c r="L30" s="1102">
        <f>(28*1839)*3</f>
        <v/>
      </c>
      <c r="M30" s="1102">
        <f>(28*1839)*3</f>
        <v/>
      </c>
      <c r="N30" s="1102" t="n"/>
      <c r="O30" s="1102" t="n"/>
      <c r="P30" s="1102" t="n"/>
      <c r="Q30" s="1102" t="n"/>
      <c r="R30" s="1102" t="n"/>
      <c r="S30" s="1102" t="n"/>
    </row>
    <row r="31">
      <c r="A31" s="77" t="n"/>
      <c r="B31" s="77" t="n"/>
      <c r="C31" s="77" t="n"/>
      <c r="D31" s="798" t="n"/>
      <c r="E31" s="149" t="n"/>
      <c r="F31" s="150"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0">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40:F40"/>
    <mergeCell ref="D36:F36"/>
  </mergeCells>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T41"/>
  <sheetViews>
    <sheetView showGridLines="0" zoomScale="70" zoomScaleNormal="70" workbookViewId="0">
      <selection activeCell="D29" sqref="D29:F29"/>
    </sheetView>
  </sheetViews>
  <sheetFormatPr baseColWidth="8" defaultColWidth="14.42578125" defaultRowHeight="15" customHeight="1" outlineLevelRow="2"/>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idden="1" outlineLevel="1"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2"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idden="1" outlineLevel="1"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hidden="1" outlineLevel="1" s="802">
      <c r="A6" s="151" t="inlineStr">
        <is>
          <t>n/a - utilize existing MSP/ HC IT support strategy for region</t>
        </is>
      </c>
      <c r="B6" s="27" t="n"/>
      <c r="C6" s="30" t="n"/>
      <c r="D6" s="27" t="n"/>
      <c r="E6" s="37" t="n"/>
      <c r="F6" s="27" t="n"/>
      <c r="G6" s="1093" t="n">
        <v>0</v>
      </c>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hidden="1" outlineLevel="1" s="802">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hidden="1" outlineLevel="1" s="802">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hidden="1" outlineLevel="1" s="802">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hidden="1" outlineLevel="1" s="802">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hidden="1" outlineLevel="1" s="802">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hidden="1" outlineLevel="1" s="80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hidden="1" outlineLevel="1" s="802">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hidden="1" outlineLevel="1" s="802">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hidden="1" outlineLevel="1" s="802">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hidden="1" outlineLevel="1" s="802">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hidden="1" outlineLevel="1" s="802">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hidden="1" outlineLevel="1" s="802">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hidden="1" outlineLevel="1" s="802">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hidden="1" outlineLevel="1" s="802">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hidden="1" outlineLevel="1" s="802">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hidden="1" outlineLevel="1" s="80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hidden="1" outlineLevel="1" s="802">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hidden="1" outlineLevel="1" s="802">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hidden="1" outlineLevel="1" s="802">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ollapsed="1" s="802">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ht="30" customHeight="1" s="802">
      <c r="A29" s="77" t="inlineStr">
        <is>
          <t>BBragg</t>
        </is>
      </c>
      <c r="B29" s="77" t="n">
        <v>8010</v>
      </c>
      <c r="C29" s="152" t="inlineStr">
        <is>
          <t>Laptops/ Monitors / Docs</t>
        </is>
      </c>
      <c r="D29" s="152" t="inlineStr">
        <is>
          <t>Hitrust compliance and employee productivity standard, Apac expensed in Qtr</t>
        </is>
      </c>
      <c r="E29" s="1103" t="n"/>
      <c r="F29" s="1104" t="n"/>
      <c r="G29" s="1100">
        <f>SUM(H29:M29)</f>
        <v/>
      </c>
      <c r="H29" s="1101" t="n"/>
      <c r="I29" s="1102">
        <f>18*5000</f>
        <v/>
      </c>
      <c r="J29" s="1102" t="n"/>
      <c r="K29" s="1102" t="n"/>
      <c r="L29" s="1102" t="n"/>
      <c r="M29" s="1102" t="n"/>
      <c r="N29" s="1102" t="n"/>
      <c r="O29" s="1102" t="n"/>
      <c r="P29" s="1102" t="n"/>
      <c r="Q29" s="1102" t="n"/>
      <c r="R29" s="1102" t="n"/>
      <c r="S29" s="1102" t="n"/>
    </row>
    <row r="30">
      <c r="A30" s="77" t="inlineStr">
        <is>
          <t>BBragg</t>
        </is>
      </c>
      <c r="B30" s="77" t="n">
        <v>8010</v>
      </c>
      <c r="C30" s="152" t="inlineStr">
        <is>
          <t>Zoom Equipment</t>
        </is>
      </c>
      <c r="D30" s="152" t="inlineStr">
        <is>
          <t>Presumes conference needs at location met by facility and laptops</t>
        </is>
      </c>
      <c r="E30" s="1103" t="n"/>
      <c r="F30" s="1104" t="n"/>
      <c r="G30" s="1100" t="inlineStr">
        <is>
          <t>n/a</t>
        </is>
      </c>
      <c r="H30" s="1101" t="n"/>
      <c r="I30" s="1102" t="n"/>
      <c r="J30" s="1102" t="n"/>
      <c r="K30" s="1102" t="n"/>
      <c r="L30" s="1102" t="n"/>
      <c r="M30" s="1102" t="n"/>
      <c r="N30" s="1102" t="n"/>
      <c r="O30" s="1102" t="n"/>
      <c r="P30" s="1102" t="n"/>
      <c r="Q30" s="1102" t="n"/>
      <c r="R30" s="1102" t="n"/>
      <c r="S30" s="1102" t="n"/>
    </row>
    <row r="31">
      <c r="A31" s="77" t="inlineStr">
        <is>
          <t>BBragg</t>
        </is>
      </c>
      <c r="B31" s="77" t="n">
        <v>8010</v>
      </c>
      <c r="C31" s="152" t="inlineStr">
        <is>
          <t>Fitbit-Corp Wifi</t>
        </is>
      </c>
      <c r="D31" s="152" t="inlineStr">
        <is>
          <t>Presumes co-working location (e.g. WeWork?) and procuring as a service from the facility.</t>
        </is>
      </c>
      <c r="E31" s="1103" t="n"/>
      <c r="F31" s="1104" t="n"/>
      <c r="G31" s="1100">
        <f>SUM(H31:M31)</f>
        <v/>
      </c>
      <c r="H31" s="1101" t="n"/>
      <c r="I31" s="1106" t="n">
        <v>10000</v>
      </c>
      <c r="J31" s="1106" t="n">
        <v>10000</v>
      </c>
      <c r="K31" s="1106" t="n">
        <v>10000</v>
      </c>
      <c r="L31" s="1106" t="n">
        <v>10000</v>
      </c>
      <c r="M31" s="1106" t="n">
        <v>10000</v>
      </c>
      <c r="N31" s="1102" t="n"/>
      <c r="O31" s="1102" t="n"/>
      <c r="P31" s="1102" t="n"/>
      <c r="Q31" s="1102" t="n"/>
      <c r="R31" s="1102" t="n"/>
      <c r="S31" s="1102" t="n"/>
    </row>
    <row r="32">
      <c r="A32" s="77" t="inlineStr">
        <is>
          <t>BBragg</t>
        </is>
      </c>
      <c r="B32" s="77" t="n">
        <v>8010</v>
      </c>
      <c r="C32" s="152" t="inlineStr">
        <is>
          <t>Printers</t>
        </is>
      </c>
      <c r="D32" s="152" t="inlineStr">
        <is>
          <t>Presume co-working location provided and usage billed to local CC</t>
        </is>
      </c>
      <c r="E32" s="1103" t="n"/>
      <c r="F32" s="1104" t="n"/>
      <c r="G32" s="1100" t="inlineStr">
        <is>
          <t>n/a</t>
        </is>
      </c>
      <c r="H32" s="1101" t="n"/>
      <c r="I32" s="1106" t="n"/>
      <c r="J32" s="1102" t="n"/>
      <c r="K32" s="1102" t="n"/>
      <c r="L32" s="1102" t="n"/>
      <c r="M32" s="1102" t="n"/>
      <c r="N32" s="1102" t="n"/>
      <c r="O32" s="1102" t="n"/>
      <c r="P32" s="1102" t="n"/>
      <c r="Q32" s="1102" t="n"/>
      <c r="R32" s="1102" t="n"/>
      <c r="S32" s="1102" t="n"/>
    </row>
    <row r="33" ht="30" customHeight="1" s="802">
      <c r="A33" s="77" t="inlineStr">
        <is>
          <t>BBragg</t>
        </is>
      </c>
      <c r="B33" s="77" t="n">
        <v>8010</v>
      </c>
      <c r="C33" s="152" t="inlineStr">
        <is>
          <t>Google/ Slack /Zoom /O365</t>
        </is>
      </c>
      <c r="D33" s="152" t="inlineStr">
        <is>
          <t>Sufficient existing terms</t>
        </is>
      </c>
      <c r="E33" s="1103" t="n"/>
      <c r="F33" s="1104" t="n"/>
      <c r="G33" s="1100" t="inlineStr">
        <is>
          <t>n/a</t>
        </is>
      </c>
      <c r="H33" s="1101" t="n"/>
      <c r="I33" s="1106" t="n"/>
      <c r="J33" s="1102" t="n"/>
      <c r="K33" s="1102" t="n"/>
      <c r="L33" s="1102" t="n"/>
      <c r="M33" s="1102" t="n"/>
      <c r="N33" s="1102" t="n"/>
      <c r="O33" s="1102" t="n"/>
      <c r="P33" s="1102" t="n"/>
      <c r="Q33" s="1102" t="n"/>
      <c r="R33" s="1102" t="n"/>
      <c r="S33" s="1102" t="n"/>
    </row>
    <row r="34" ht="45" customHeight="1" s="802">
      <c r="A34" s="77" t="inlineStr">
        <is>
          <t>BBragg</t>
        </is>
      </c>
      <c r="B34" s="77" t="inlineStr">
        <is>
          <t>Likely Jonah Org as current model</t>
        </is>
      </c>
      <c r="C34" s="152" t="inlineStr">
        <is>
          <t>Special software : Adobe, Zepplin, Sketch</t>
        </is>
      </c>
      <c r="D34" s="119" t="inlineStr">
        <is>
          <t>Existing design tools and similar to FB standards used by ID</t>
        </is>
      </c>
      <c r="E34" s="1103" t="n"/>
      <c r="F34" s="1104" t="n"/>
      <c r="G34" s="1100">
        <f>SUM(H34:M34)</f>
        <v/>
      </c>
      <c r="H34" s="1101" t="n"/>
      <c r="I34" s="1106" t="n">
        <v>10000</v>
      </c>
      <c r="J34" s="1102" t="n"/>
      <c r="K34" s="1102" t="n"/>
      <c r="L34" s="1102" t="n"/>
      <c r="M34" s="1102" t="n">
        <v>10000</v>
      </c>
      <c r="N34" s="1102" t="n"/>
      <c r="O34" s="1102" t="n"/>
      <c r="P34" s="1102" t="n"/>
      <c r="Q34" s="1102" t="n"/>
      <c r="R34" s="1102" t="n"/>
      <c r="S34" s="1102" t="n"/>
    </row>
    <row r="35">
      <c r="A35" s="77" t="inlineStr">
        <is>
          <t>BBragg</t>
        </is>
      </c>
      <c r="B35" s="77" t="n">
        <v>8010</v>
      </c>
      <c r="C35" s="153" t="inlineStr">
        <is>
          <t>Outside Services</t>
        </is>
      </c>
      <c r="D35" s="152" t="inlineStr">
        <is>
          <t>Temp IT Systems Engineer in APAC to support, transition and decom existing internal systems</t>
        </is>
      </c>
      <c r="E35" s="1103" t="n"/>
      <c r="F35" s="1104" t="n"/>
      <c r="G35" s="1100">
        <f>SUM(H35:M35)</f>
        <v/>
      </c>
      <c r="H35" s="1107" t="n"/>
      <c r="I35" s="1102" t="n">
        <v>30000</v>
      </c>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10.xml><?xml version="1.0" encoding="utf-8"?>
<worksheet xmlns="http://schemas.openxmlformats.org/spreadsheetml/2006/main">
  <sheetPr>
    <outlinePr summaryBelow="1" summaryRight="1"/>
    <pageSetUpPr/>
  </sheetPr>
  <dimension ref="A1:T41"/>
  <sheetViews>
    <sheetView showGridLines="0" zoomScale="80" zoomScaleNormal="80" workbookViewId="0">
      <selection activeCell="G33" sqref="G33"/>
    </sheetView>
  </sheetViews>
  <sheetFormatPr baseColWidth="8" defaultColWidth="14.42578125" defaultRowHeight="15" customHeight="1" outlineLevelRow="2"/>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idden="1" outlineLevel="1"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2"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idden="1" outlineLevel="1"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hidden="1" outlineLevel="1" s="802">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hidden="1" outlineLevel="1" s="802">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hidden="1" outlineLevel="1" s="802">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hidden="1" outlineLevel="1" s="802">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hidden="1" outlineLevel="1" s="802">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hidden="1" outlineLevel="1" s="802">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hidden="1" outlineLevel="1" s="80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hidden="1" outlineLevel="1" s="802">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hidden="1" outlineLevel="1" s="802">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hidden="1" outlineLevel="1" s="802">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hidden="1" outlineLevel="1" s="802">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hidden="1" outlineLevel="1" s="802">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hidden="1" outlineLevel="1" s="802">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hidden="1" outlineLevel="1" s="802">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hidden="1" outlineLevel="1" s="802">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hidden="1" outlineLevel="1" s="802">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hidden="1" outlineLevel="1" s="80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hidden="1" outlineLevel="1" s="802">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hidden="1" outlineLevel="1" s="802">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hidden="1" outlineLevel="1" s="802">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hidden="1" outlineLevel="1" s="802">
      <c r="B26" s="28" t="n"/>
      <c r="C26" s="28" t="n"/>
      <c r="D26" s="28" t="n"/>
      <c r="E26" s="28" t="n"/>
      <c r="F26" s="28" t="n"/>
      <c r="G26" s="28" t="n"/>
      <c r="H26" s="28" t="n"/>
      <c r="I26" s="28" t="n"/>
      <c r="J26" s="28" t="n"/>
      <c r="K26" s="28" t="n"/>
      <c r="L26" s="28" t="n"/>
      <c r="M26" s="28" t="n"/>
      <c r="N26" s="28" t="n"/>
      <c r="O26" s="28" t="n"/>
      <c r="P26" s="28" t="n"/>
      <c r="Q26" s="28" t="n"/>
      <c r="R26" s="28" t="n"/>
      <c r="S26" s="28" t="n"/>
    </row>
    <row r="27" collapsed="1"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ht="45" customHeight="1" s="802">
      <c r="A29" s="77" t="inlineStr">
        <is>
          <t>jwerrett</t>
        </is>
      </c>
      <c r="B29" s="77" t="n">
        <v>3620</v>
      </c>
      <c r="C29" s="156" t="inlineStr">
        <is>
          <t>Open Source and Third-Party Code Audit</t>
        </is>
      </c>
      <c r="D29" s="156" t="inlineStr">
        <is>
          <t>Identify the source and license of  third-party software in Delta code bases</t>
        </is>
      </c>
      <c r="E29" s="1103" t="n"/>
      <c r="F29" s="1104" t="n"/>
      <c r="G29" s="1100" t="n">
        <v>23000</v>
      </c>
      <c r="H29" s="1100" t="n">
        <v>23000</v>
      </c>
      <c r="I29" s="1102" t="n"/>
      <c r="J29" s="1102" t="n"/>
      <c r="K29" s="1102" t="n"/>
      <c r="L29" s="1102" t="n"/>
      <c r="M29" s="1102" t="n"/>
      <c r="N29" s="1102" t="n"/>
      <c r="O29" s="1102" t="n"/>
      <c r="P29" s="1102" t="n"/>
      <c r="Q29" s="1102" t="n"/>
      <c r="R29" s="1102" t="n"/>
      <c r="S29" s="1102" t="n"/>
    </row>
    <row r="30" ht="30" customHeight="1" s="802">
      <c r="A30" s="77" t="inlineStr">
        <is>
          <t>jwerrett</t>
        </is>
      </c>
      <c r="B30" s="77" t="n">
        <v>3620</v>
      </c>
      <c r="C30" s="156" t="inlineStr">
        <is>
          <t>Open Source Risk Assessment</t>
        </is>
      </c>
      <c r="D30" s="156" t="inlineStr">
        <is>
          <t>Identify known vulnerbailities and security deficiencies in Delta code bases</t>
        </is>
      </c>
      <c r="E30" s="1103" t="n"/>
      <c r="F30" s="1104" t="n"/>
      <c r="G30" s="1100" t="n">
        <v>5750</v>
      </c>
      <c r="H30" s="1100" t="n">
        <v>5750</v>
      </c>
      <c r="I30" s="1102" t="n"/>
      <c r="J30" s="1102" t="n"/>
      <c r="K30" s="1102" t="n"/>
      <c r="L30" s="1102" t="n"/>
      <c r="M30" s="1102" t="n"/>
      <c r="N30" s="1102" t="n"/>
      <c r="O30" s="1102" t="n"/>
      <c r="P30" s="1102" t="n"/>
      <c r="Q30" s="1102" t="n"/>
      <c r="R30" s="1102" t="n"/>
      <c r="S30" s="1102" t="n"/>
    </row>
    <row r="31">
      <c r="A31" s="77" t="inlineStr">
        <is>
          <t>jwerrett</t>
        </is>
      </c>
      <c r="B31" s="77" t="n">
        <v>3620</v>
      </c>
      <c r="C31" s="156" t="inlineStr">
        <is>
          <t>Penetration Test</t>
        </is>
      </c>
      <c r="D31" s="156" t="inlineStr">
        <is>
          <t>Assess Delta backend services and infrastructure for security vulnerabilities and misconfigurations</t>
        </is>
      </c>
      <c r="E31" s="1103" t="n"/>
      <c r="F31" s="1104" t="n"/>
      <c r="G31" s="1100" t="n">
        <v>15000</v>
      </c>
      <c r="H31" s="1100" t="n">
        <v>15000</v>
      </c>
      <c r="I31" s="1106" t="n"/>
      <c r="J31" s="1102" t="n"/>
      <c r="K31" s="1102" t="n"/>
      <c r="L31" s="1102" t="n"/>
      <c r="M31" s="1102" t="n"/>
      <c r="N31" s="1102" t="n"/>
      <c r="O31" s="1102" t="n"/>
      <c r="P31" s="1102" t="n"/>
      <c r="Q31" s="1102" t="n"/>
      <c r="R31" s="1102" t="n"/>
      <c r="S31" s="1102" t="n"/>
    </row>
    <row r="32">
      <c r="A32" s="77" t="n"/>
      <c r="B32" s="77" t="n"/>
      <c r="C32" s="156" t="n"/>
      <c r="D32" s="156"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156" t="n"/>
      <c r="D33" s="156"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156" t="n"/>
      <c r="D34" s="156"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155" t="n"/>
      <c r="D35" s="156"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155" t="n"/>
      <c r="D36" s="156"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155" t="n"/>
      <c r="D37" s="156"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156" t="n"/>
      <c r="D38" s="156"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156" t="n"/>
      <c r="D39" s="156"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156" t="n"/>
      <c r="D40" s="156"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T41"/>
  <sheetViews>
    <sheetView showGridLines="0" zoomScale="80" zoomScaleNormal="80" workbookViewId="0">
      <selection activeCell="A29" sqref="A29"/>
    </sheetView>
  </sheetViews>
  <sheetFormatPr baseColWidth="8" defaultColWidth="14.42578125" defaultRowHeight="15" customHeight="1" outlineLevelRow="2"/>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idden="1" outlineLevel="1"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2"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idden="1" outlineLevel="1"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hidden="1" outlineLevel="1" s="802">
      <c r="A6" s="27" t="inlineStr">
        <is>
          <t xml:space="preserve">Existing headcount and external resources will suffice </t>
        </is>
      </c>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hidden="1" outlineLevel="1" s="802">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hidden="1" outlineLevel="1" s="802">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hidden="1" outlineLevel="1" s="802">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hidden="1" outlineLevel="1" s="802">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hidden="1" outlineLevel="1" s="802">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hidden="1" outlineLevel="1" s="80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hidden="1" outlineLevel="1" s="802">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hidden="1" outlineLevel="1" s="802">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hidden="1" outlineLevel="1" s="802">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hidden="1" outlineLevel="1" s="802">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hidden="1" outlineLevel="1" s="802">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hidden="1" outlineLevel="1" s="802">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hidden="1" outlineLevel="1" s="802">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hidden="1" outlineLevel="1" s="802">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hidden="1" outlineLevel="1" s="802">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hidden="1" outlineLevel="1" s="80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hidden="1" outlineLevel="1" s="802">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hidden="1" outlineLevel="1" s="802">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hidden="1" outlineLevel="1" s="802">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ollapsed="1" s="802">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119" t="inlineStr">
        <is>
          <t>( Existing migration tools will suffice for performing the tasks. Do not fore see any additional costs)</t>
        </is>
      </c>
      <c r="B29" s="77" t="n"/>
      <c r="C29" s="77" t="n"/>
      <c r="D29" s="77" t="n"/>
      <c r="E29" s="1103" t="n"/>
      <c r="F29" s="1104" t="n"/>
      <c r="G29" s="1100" t="n"/>
      <c r="H29" s="1101" t="n"/>
      <c r="I29" s="1102" t="n"/>
      <c r="J29" s="1102" t="n"/>
      <c r="K29" s="1102" t="n"/>
      <c r="L29" s="1102" t="n"/>
      <c r="M29" s="1102" t="n"/>
      <c r="N29" s="1102" t="n"/>
      <c r="O29" s="1102" t="n"/>
      <c r="P29" s="1102" t="n"/>
      <c r="Q29" s="1102" t="n"/>
      <c r="R29" s="1102" t="n"/>
      <c r="S29" s="1102" t="n"/>
    </row>
    <row r="30">
      <c r="A30" s="77" t="n"/>
      <c r="B30" s="77" t="n"/>
      <c r="C30" s="77" t="n"/>
      <c r="D30" s="77" t="n"/>
      <c r="E30" s="1103" t="n"/>
      <c r="F30" s="1104" t="n"/>
      <c r="G30" s="1100" t="n"/>
      <c r="H30" s="1101" t="n"/>
      <c r="I30" s="1102" t="n"/>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D34:F34"/>
    <mergeCell ref="H27:I27"/>
    <mergeCell ref="H3:I3"/>
    <mergeCell ref="J27:M27"/>
    <mergeCell ref="D31:F31"/>
    <mergeCell ref="D40:F40"/>
    <mergeCell ref="D36:F36"/>
  </mergeCells>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T41"/>
  <sheetViews>
    <sheetView showGridLines="0" zoomScale="80" zoomScaleNormal="80" workbookViewId="0">
      <selection activeCell="H51" sqref="H51"/>
    </sheetView>
  </sheetViews>
  <sheetFormatPr baseColWidth="8" defaultColWidth="14.42578125" defaultRowHeight="15" customHeight="1" outlineLevelRow="2"/>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hidden="1" outlineLevel="1" s="802">
      <c r="I2" s="28" t="n"/>
      <c r="J2" s="6" t="n"/>
      <c r="K2" s="28" t="n"/>
      <c r="L2" s="28" t="n"/>
      <c r="M2" s="28" t="n"/>
      <c r="N2" s="6" t="n"/>
      <c r="O2" s="28" t="n"/>
      <c r="P2" s="28" t="n"/>
      <c r="Q2" s="28" t="n"/>
      <c r="R2" s="6" t="n"/>
      <c r="S2" s="28" t="n"/>
      <c r="T2" s="28" t="n"/>
    </row>
    <row r="3" hidden="1" outlineLevel="1"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2"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idden="1" outlineLevel="1"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hidden="1" outlineLevel="1" s="802">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hidden="1" outlineLevel="1" s="802">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hidden="1" outlineLevel="1" s="802">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hidden="1" outlineLevel="1" s="802">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hidden="1" outlineLevel="1" s="802">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hidden="1" outlineLevel="1" s="802">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hidden="1" outlineLevel="1" s="80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hidden="1" outlineLevel="1" s="802">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hidden="1" outlineLevel="1" s="802">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hidden="1" outlineLevel="1" s="802">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hidden="1" outlineLevel="1" s="802">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hidden="1" outlineLevel="1" s="802">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hidden="1" outlineLevel="1" s="802">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hidden="1" outlineLevel="1" s="802">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hidden="1" outlineLevel="1" s="802">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hidden="1" outlineLevel="1" s="802">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hidden="1" outlineLevel="1" s="80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hidden="1" outlineLevel="1" s="802">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hidden="1" outlineLevel="1" s="802">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hidden="1" outlineLevel="1" s="802">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ollapsed="1" s="802">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inlineStr">
        <is>
          <t>Bobinder</t>
        </is>
      </c>
      <c r="B29" s="77" t="inlineStr">
        <is>
          <t>Ops</t>
        </is>
      </c>
      <c r="C29" s="77" t="inlineStr">
        <is>
          <t>CS Costs</t>
        </is>
      </c>
      <c r="D29" s="77" t="inlineStr">
        <is>
          <t>Logistics costs of shipping out Doki replacement units</t>
        </is>
      </c>
      <c r="E29" s="1103" t="n"/>
      <c r="F29" s="1104" t="n"/>
      <c r="G29" s="1100" t="n">
        <v>40000</v>
      </c>
      <c r="H29" s="1101" t="n"/>
      <c r="I29" s="1102" t="n">
        <v>10000</v>
      </c>
      <c r="J29" s="1102" t="n">
        <v>10000</v>
      </c>
      <c r="K29" s="1102" t="n">
        <v>10000</v>
      </c>
      <c r="L29" s="1102" t="n">
        <v>10000</v>
      </c>
      <c r="M29" s="1102" t="n"/>
      <c r="N29" s="1102" t="n"/>
      <c r="O29" s="1102" t="n"/>
      <c r="P29" s="1102" t="n"/>
      <c r="Q29" s="1102" t="n"/>
      <c r="R29" s="1102" t="n"/>
      <c r="S29" s="1102" t="n"/>
    </row>
    <row r="30">
      <c r="A30" s="77" t="inlineStr">
        <is>
          <t>Bobinder</t>
        </is>
      </c>
      <c r="B30" s="77" t="inlineStr">
        <is>
          <t>Ops</t>
        </is>
      </c>
      <c r="C30" s="77" t="inlineStr">
        <is>
          <t>Field Issue Invesgiation</t>
        </is>
      </c>
      <c r="D30" s="77" t="inlineStr">
        <is>
          <t xml:space="preserve">Need to add budget to Bobinders Ops team </t>
        </is>
      </c>
      <c r="E30" s="1103" t="n"/>
      <c r="F30" s="1104" t="n"/>
      <c r="G30" s="1100" t="n">
        <v>20000</v>
      </c>
      <c r="H30" s="1101" t="n"/>
      <c r="I30" s="1102" t="n">
        <v>5000</v>
      </c>
      <c r="J30" s="1102" t="n">
        <v>5000</v>
      </c>
      <c r="K30" s="1102" t="n">
        <v>5000</v>
      </c>
      <c r="L30" s="1102" t="n">
        <v>5000</v>
      </c>
      <c r="M30" s="1102" t="n"/>
      <c r="N30" s="1102" t="n"/>
      <c r="O30" s="1102" t="n"/>
      <c r="P30" s="1102" t="n"/>
      <c r="Q30" s="1102" t="n"/>
      <c r="R30" s="1102" t="n"/>
      <c r="S30" s="1102" t="n"/>
    </row>
    <row r="31">
      <c r="A31" s="77" t="inlineStr">
        <is>
          <t>Dale (in email)</t>
        </is>
      </c>
      <c r="B31" s="77" t="n"/>
      <c r="C31" s="77" t="n"/>
      <c r="D31" s="451" t="inlineStr">
        <is>
          <t>Zendesk subscription</t>
        </is>
      </c>
      <c r="E31" s="1103" t="n"/>
      <c r="F31" s="1104" t="n"/>
      <c r="G31" s="1100">
        <f>SUM(H31:K31)</f>
        <v/>
      </c>
      <c r="H31" s="1101" t="n"/>
      <c r="I31" s="1101">
        <f>500*3</f>
        <v/>
      </c>
      <c r="J31" s="1101">
        <f>500*3</f>
        <v/>
      </c>
      <c r="K31" s="1101">
        <f>500*3</f>
        <v/>
      </c>
      <c r="L31" s="1101">
        <f>500*3</f>
        <v/>
      </c>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13.xml><?xml version="1.0" encoding="utf-8"?>
<worksheet xmlns="http://schemas.openxmlformats.org/spreadsheetml/2006/main">
  <sheetPr>
    <tabColor rgb="FFFFFF00"/>
    <outlinePr summaryBelow="1" summaryRight="1"/>
    <pageSetUpPr/>
  </sheetPr>
  <dimension ref="A1:R995"/>
  <sheetViews>
    <sheetView showGridLines="0" zoomScale="90" zoomScaleNormal="90" workbookViewId="0">
      <selection activeCell="B42" sqref="B42"/>
    </sheetView>
  </sheetViews>
  <sheetFormatPr baseColWidth="8" defaultColWidth="14.42578125" defaultRowHeight="15" customHeight="1" outlineLevelRow="1"/>
  <cols>
    <col width="3.7109375" customWidth="1" style="802" min="1" max="1"/>
    <col width="26.85546875" customWidth="1" style="802" min="2" max="2"/>
    <col width="18.7109375" customWidth="1" style="802" min="3" max="3"/>
    <col width="37" customWidth="1" style="802" min="4" max="4"/>
    <col width="18" customWidth="1" style="802" min="5" max="5"/>
    <col width="12.7109375" customWidth="1" style="802" min="6" max="17"/>
    <col width="27.85546875" customWidth="1" style="802" min="18" max="18"/>
  </cols>
  <sheetData>
    <row r="1" ht="23.25" customHeight="1" s="802">
      <c r="A1" s="1" t="inlineStr">
        <is>
          <t>DELTA INCREMENTAL COSTS</t>
        </is>
      </c>
      <c r="I1" s="2" t="n"/>
    </row>
    <row r="2">
      <c r="A2" s="3" t="inlineStr">
        <is>
          <t>SUMMARY</t>
        </is>
      </c>
      <c r="I2" s="2" t="n"/>
    </row>
    <row r="3" ht="23.25" customHeight="1" s="802">
      <c r="F3" s="1113" t="n"/>
    </row>
    <row r="4">
      <c r="D4" s="28" t="n"/>
      <c r="E4" s="28" t="n"/>
      <c r="F4" s="1088" t="n">
        <v>2019</v>
      </c>
      <c r="G4" s="1089" t="n"/>
      <c r="H4" s="1090" t="n">
        <v>2020</v>
      </c>
      <c r="I4" s="1091" t="n"/>
      <c r="J4" s="1091" t="n"/>
      <c r="K4" s="1089" t="n"/>
      <c r="L4" s="1090" t="n">
        <v>2021</v>
      </c>
      <c r="M4" s="1091" t="n"/>
      <c r="N4" s="1091" t="n"/>
      <c r="O4" s="1089" t="n"/>
      <c r="P4" s="1088" t="n">
        <v>2022</v>
      </c>
      <c r="Q4" s="1089" t="n"/>
      <c r="R4" s="28" t="n"/>
    </row>
    <row r="5">
      <c r="A5" s="111" t="inlineStr">
        <is>
          <t>Headcount Related (if needed)</t>
        </is>
      </c>
      <c r="B5" s="10" t="n"/>
      <c r="C5" s="12" t="inlineStr">
        <is>
          <t>Owner</t>
        </is>
      </c>
      <c r="D5" s="14" t="inlineStr">
        <is>
          <t>Key Need:</t>
        </is>
      </c>
      <c r="E5" s="14" t="inlineStr">
        <is>
          <t>Status</t>
        </is>
      </c>
      <c r="F5" s="18" t="inlineStr">
        <is>
          <t>Q3</t>
        </is>
      </c>
      <c r="G5" s="26" t="inlineStr">
        <is>
          <t>Q4</t>
        </is>
      </c>
      <c r="H5" s="22" t="inlineStr">
        <is>
          <t>Q1</t>
        </is>
      </c>
      <c r="I5" s="18" t="inlineStr">
        <is>
          <t>Q2</t>
        </is>
      </c>
      <c r="J5" s="18" t="inlineStr">
        <is>
          <t>Q3</t>
        </is>
      </c>
      <c r="K5" s="26" t="inlineStr">
        <is>
          <t>Q4</t>
        </is>
      </c>
      <c r="L5" s="22" t="inlineStr">
        <is>
          <t>Q1</t>
        </is>
      </c>
      <c r="M5" s="18" t="inlineStr">
        <is>
          <t>Q2</t>
        </is>
      </c>
      <c r="N5" s="18" t="inlineStr">
        <is>
          <t>Q3</t>
        </is>
      </c>
      <c r="O5" s="26" t="inlineStr">
        <is>
          <t>Q4</t>
        </is>
      </c>
      <c r="P5" s="24" t="inlineStr">
        <is>
          <t>Q1</t>
        </is>
      </c>
      <c r="Q5" s="26" t="inlineStr">
        <is>
          <t>Q2</t>
        </is>
      </c>
      <c r="R5" s="3" t="n"/>
    </row>
    <row r="6">
      <c r="A6" s="28" t="n"/>
      <c r="B6" s="28" t="inlineStr">
        <is>
          <t>I TECH</t>
        </is>
      </c>
      <c r="C6" s="28" t="inlineStr">
        <is>
          <t>Ryan Krems</t>
        </is>
      </c>
      <c r="D6" s="28" t="n"/>
      <c r="E6" s="28" t="inlineStr">
        <is>
          <t>Complete</t>
        </is>
      </c>
      <c r="F6" s="83">
        <f>'I. TECH'!I26</f>
        <v/>
      </c>
      <c r="G6" s="34">
        <f>'I. TECH'!J26</f>
        <v/>
      </c>
      <c r="H6" s="36">
        <f>'I. TECH'!K26</f>
        <v/>
      </c>
      <c r="I6" s="83">
        <f>'I. TECH'!L26</f>
        <v/>
      </c>
      <c r="J6" s="83">
        <f>'I. TECH'!M26</f>
        <v/>
      </c>
      <c r="K6" s="38">
        <f>'I. TECH'!N26</f>
        <v/>
      </c>
      <c r="L6" s="41">
        <f>'I. TECH'!O26</f>
        <v/>
      </c>
      <c r="M6" s="83">
        <f>'I. TECH'!P26</f>
        <v/>
      </c>
      <c r="N6" s="83">
        <f>'I. TECH'!Q26</f>
        <v/>
      </c>
      <c r="O6" s="34">
        <f>'I. TECH'!R26</f>
        <v/>
      </c>
      <c r="P6" s="36">
        <f>'I. TECH'!S26</f>
        <v/>
      </c>
      <c r="Q6" s="38">
        <f>'I. TECH'!T26</f>
        <v/>
      </c>
      <c r="R6" s="28" t="n"/>
    </row>
    <row r="7">
      <c r="A7" s="28" t="n"/>
      <c r="B7" s="28" t="inlineStr">
        <is>
          <t>II NON TECH</t>
        </is>
      </c>
      <c r="C7" s="28" t="inlineStr">
        <is>
          <t>Ryan Krems</t>
        </is>
      </c>
      <c r="D7" s="28" t="n"/>
      <c r="E7" s="28" t="inlineStr">
        <is>
          <t>Complete</t>
        </is>
      </c>
      <c r="F7" s="83" t="n"/>
      <c r="G7" s="34" t="n"/>
      <c r="H7" s="36" t="n"/>
      <c r="I7" s="83" t="n"/>
      <c r="J7" s="83" t="n"/>
      <c r="K7" s="38" t="n"/>
      <c r="L7" s="41" t="n"/>
      <c r="M7" s="83" t="n"/>
      <c r="N7" s="83" t="n"/>
      <c r="O7" s="34" t="n"/>
      <c r="P7" s="36" t="n"/>
      <c r="Q7" s="38" t="n"/>
      <c r="R7" s="28" t="n"/>
    </row>
    <row r="8" hidden="1" outlineLevel="1" s="802">
      <c r="A8" s="28" t="n">
        <v>1</v>
      </c>
      <c r="B8" s="28" t="inlineStr">
        <is>
          <t>Product</t>
        </is>
      </c>
      <c r="C8" s="28" t="inlineStr">
        <is>
          <t>Jon Oakes, Ryan K</t>
        </is>
      </c>
      <c r="D8" s="28" t="inlineStr">
        <is>
          <t xml:space="preserve">New Hires to expedite Viking development </t>
        </is>
      </c>
      <c r="E8" s="28" t="n"/>
      <c r="F8" s="83" t="n"/>
      <c r="G8" s="34" t="n"/>
      <c r="H8" s="36" t="n"/>
      <c r="I8" s="83" t="n"/>
      <c r="J8" s="83" t="n"/>
      <c r="K8" s="38" t="n"/>
      <c r="L8" s="41" t="n"/>
      <c r="M8" s="83" t="n"/>
      <c r="N8" s="83" t="n"/>
      <c r="O8" s="34" t="n"/>
      <c r="P8" s="36" t="n"/>
      <c r="Q8" s="38" t="n"/>
      <c r="R8" s="28" t="n"/>
    </row>
    <row r="9" hidden="1" outlineLevel="1" s="802">
      <c r="A9" s="28" t="n">
        <v>2</v>
      </c>
      <c r="B9" s="28" t="inlineStr">
        <is>
          <t>SW Engineering</t>
        </is>
      </c>
      <c r="C9" s="28" t="inlineStr">
        <is>
          <t>Jon Oakes, Ryan K</t>
        </is>
      </c>
      <c r="D9" s="28" t="inlineStr">
        <is>
          <t xml:space="preserve">New Hires to expedite Viking development </t>
        </is>
      </c>
      <c r="E9" s="28" t="n"/>
      <c r="F9" s="83" t="n"/>
      <c r="G9" s="34" t="n"/>
      <c r="H9" s="36" t="n"/>
      <c r="I9" s="83" t="n"/>
      <c r="J9" s="83" t="n"/>
      <c r="K9" s="38" t="n"/>
      <c r="L9" s="41" t="n"/>
      <c r="M9" s="83" t="n"/>
      <c r="N9" s="83" t="n"/>
      <c r="O9" s="34" t="n"/>
      <c r="P9" s="36" t="n"/>
      <c r="Q9" s="38" t="n"/>
      <c r="R9" s="28" t="n"/>
    </row>
    <row r="10" hidden="1" outlineLevel="1" s="802">
      <c r="A10" s="28" t="n">
        <v>3</v>
      </c>
      <c r="B10" s="28" t="inlineStr">
        <is>
          <t>HW Engineering</t>
        </is>
      </c>
      <c r="C10" s="28" t="inlineStr">
        <is>
          <t>Mark M</t>
        </is>
      </c>
      <c r="D10" s="28" t="n"/>
      <c r="E10" s="28" t="inlineStr">
        <is>
          <t>Work In Progress</t>
        </is>
      </c>
      <c r="F10" s="83">
        <f>'3) HW Eng'!H25</f>
        <v/>
      </c>
      <c r="G10" s="34">
        <f>'3) HW Eng'!I25</f>
        <v/>
      </c>
      <c r="H10" s="36">
        <f>'3) HW Eng'!J25</f>
        <v/>
      </c>
      <c r="I10" s="83">
        <f>'3) HW Eng'!K25</f>
        <v/>
      </c>
      <c r="J10" s="83">
        <f>'3) HW Eng'!L25</f>
        <v/>
      </c>
      <c r="K10" s="38">
        <f>'3) HW Eng'!M25</f>
        <v/>
      </c>
      <c r="L10" s="41">
        <f>'3) HW Eng'!N25</f>
        <v/>
      </c>
      <c r="M10" s="83">
        <f>'3) HW Eng'!O25</f>
        <v/>
      </c>
      <c r="N10" s="83">
        <f>'3) HW Eng'!P25</f>
        <v/>
      </c>
      <c r="O10" s="34">
        <f>'3) HW Eng'!Q25</f>
        <v/>
      </c>
      <c r="P10" s="36">
        <f>'3) HW Eng'!R25</f>
        <v/>
      </c>
      <c r="Q10" s="38">
        <f>'3) HW Eng'!S25</f>
        <v/>
      </c>
      <c r="R10" s="28" t="n"/>
    </row>
    <row r="11" hidden="1" outlineLevel="1" s="802">
      <c r="A11" s="28" t="n">
        <v>4</v>
      </c>
      <c r="B11" s="28" t="inlineStr">
        <is>
          <t>Accounting</t>
        </is>
      </c>
      <c r="C11" s="28" t="inlineStr">
        <is>
          <t>Audrey Zhang</t>
        </is>
      </c>
      <c r="D11" s="28" t="inlineStr">
        <is>
          <t>Integration costs, inventory write off costs</t>
        </is>
      </c>
      <c r="E11" s="28" t="inlineStr">
        <is>
          <t>Work In Progress</t>
        </is>
      </c>
      <c r="F11" s="83">
        <f>'4) Accounting'!H25</f>
        <v/>
      </c>
      <c r="G11" s="34">
        <f>'4) Accounting'!I25</f>
        <v/>
      </c>
      <c r="H11" s="36">
        <f>'4) Accounting'!J25</f>
        <v/>
      </c>
      <c r="I11" s="83">
        <f>'4) Accounting'!K25</f>
        <v/>
      </c>
      <c r="J11" s="83">
        <f>'4) Accounting'!L25</f>
        <v/>
      </c>
      <c r="K11" s="38">
        <f>'4) Accounting'!M25</f>
        <v/>
      </c>
      <c r="L11" s="41">
        <f>'4) Accounting'!N25</f>
        <v/>
      </c>
      <c r="M11" s="83">
        <f>'4) Accounting'!O25</f>
        <v/>
      </c>
      <c r="N11" s="83">
        <f>'4) Accounting'!P25</f>
        <v/>
      </c>
      <c r="O11" s="34">
        <f>'4) Accounting'!Q25</f>
        <v/>
      </c>
      <c r="P11" s="36">
        <f>'4) Accounting'!R25</f>
        <v/>
      </c>
      <c r="Q11" s="38">
        <f>'4) Accounting'!S25</f>
        <v/>
      </c>
      <c r="R11" s="28" t="n"/>
    </row>
    <row r="12" hidden="1" outlineLevel="1" s="802">
      <c r="A12" s="28" t="n">
        <v>5</v>
      </c>
      <c r="B12" s="28" t="inlineStr">
        <is>
          <t>Tax &amp; Treasury</t>
        </is>
      </c>
      <c r="C12" s="28" t="inlineStr">
        <is>
          <t>Harvey, Anu</t>
        </is>
      </c>
      <c r="D12" s="28" t="inlineStr">
        <is>
          <t>Tax costs</t>
        </is>
      </c>
      <c r="E12" s="28" t="inlineStr">
        <is>
          <t>Complete</t>
        </is>
      </c>
      <c r="F12" s="83">
        <f>'5) Tax &amp; Treasury'!H25</f>
        <v/>
      </c>
      <c r="G12" s="34">
        <f>'5) Tax &amp; Treasury'!I25</f>
        <v/>
      </c>
      <c r="H12" s="36">
        <f>'5) Tax &amp; Treasury'!J25</f>
        <v/>
      </c>
      <c r="I12" s="83">
        <f>'5) Tax &amp; Treasury'!K25</f>
        <v/>
      </c>
      <c r="J12" s="83">
        <f>'5) Tax &amp; Treasury'!L25</f>
        <v/>
      </c>
      <c r="K12" s="38">
        <f>'5) Tax &amp; Treasury'!M25</f>
        <v/>
      </c>
      <c r="L12" s="41">
        <f>'5) Tax &amp; Treasury'!N25</f>
        <v/>
      </c>
      <c r="M12" s="83">
        <f>'5) Tax &amp; Treasury'!O25</f>
        <v/>
      </c>
      <c r="N12" s="83">
        <f>'5) Tax &amp; Treasury'!P25</f>
        <v/>
      </c>
      <c r="O12" s="34">
        <f>'5) Tax &amp; Treasury'!Q25</f>
        <v/>
      </c>
      <c r="P12" s="36">
        <f>'5) Tax &amp; Treasury'!R25</f>
        <v/>
      </c>
      <c r="Q12" s="38">
        <f>'5) Tax &amp; Treasury'!S25</f>
        <v/>
      </c>
      <c r="R12" s="28" t="n"/>
    </row>
    <row r="13" hidden="1" outlineLevel="1" s="802">
      <c r="A13" s="28" t="n">
        <v>6</v>
      </c>
      <c r="B13" s="28" t="inlineStr">
        <is>
          <t>Legal</t>
        </is>
      </c>
      <c r="C13" s="28" t="inlineStr">
        <is>
          <t>Nisha</t>
        </is>
      </c>
      <c r="D13" s="28" t="inlineStr">
        <is>
          <t>Legal closing costs</t>
        </is>
      </c>
      <c r="E13" s="28" t="inlineStr">
        <is>
          <t>Work In Progress</t>
        </is>
      </c>
      <c r="F13" s="83">
        <f>'6) Legal'!H25</f>
        <v/>
      </c>
      <c r="G13" s="34">
        <f>'6) Legal'!I25</f>
        <v/>
      </c>
      <c r="H13" s="36">
        <f>'6) Legal'!J25</f>
        <v/>
      </c>
      <c r="I13" s="83">
        <f>'6) Legal'!K25</f>
        <v/>
      </c>
      <c r="J13" s="83">
        <f>'6) Legal'!L25</f>
        <v/>
      </c>
      <c r="K13" s="38">
        <f>'6) Legal'!M25</f>
        <v/>
      </c>
      <c r="L13" s="41">
        <f>'6) Legal'!N25</f>
        <v/>
      </c>
      <c r="M13" s="83">
        <f>'6) Legal'!O25</f>
        <v/>
      </c>
      <c r="N13" s="83">
        <f>'6) Legal'!P25</f>
        <v/>
      </c>
      <c r="O13" s="34">
        <f>'6) Legal'!Q25</f>
        <v/>
      </c>
      <c r="P13" s="36">
        <f>'6) Legal'!R25</f>
        <v/>
      </c>
      <c r="Q13" s="38">
        <f>'6) Legal'!S25</f>
        <v/>
      </c>
      <c r="R13" s="28" t="n"/>
    </row>
    <row r="14" hidden="1" outlineLevel="1" s="802">
      <c r="A14" s="62" t="n">
        <v>7</v>
      </c>
      <c r="B14" s="62" t="inlineStr">
        <is>
          <t>HR</t>
        </is>
      </c>
      <c r="C14" s="62" t="inlineStr">
        <is>
          <t>Bob, Sheryl</t>
        </is>
      </c>
      <c r="D14" s="62" t="inlineStr">
        <is>
          <t>Employee related (separate file)</t>
        </is>
      </c>
      <c r="E14" s="62" t="inlineStr">
        <is>
          <t>N/A</t>
        </is>
      </c>
      <c r="F14" s="64">
        <f>'7) HR'!H25</f>
        <v/>
      </c>
      <c r="G14" s="65">
        <f>'7) HR'!I25</f>
        <v/>
      </c>
      <c r="H14" s="67">
        <f>'7) HR'!J25</f>
        <v/>
      </c>
      <c r="I14" s="64">
        <f>'7) HR'!K25</f>
        <v/>
      </c>
      <c r="J14" s="64">
        <f>'7) HR'!L25</f>
        <v/>
      </c>
      <c r="K14" s="71">
        <f>'7) HR'!M25</f>
        <v/>
      </c>
      <c r="L14" s="73">
        <f>'7) HR'!N25</f>
        <v/>
      </c>
      <c r="M14" s="64">
        <f>'7) HR'!O25</f>
        <v/>
      </c>
      <c r="N14" s="64">
        <f>'7) HR'!P25</f>
        <v/>
      </c>
      <c r="O14" s="65">
        <f>'7) HR'!Q25</f>
        <v/>
      </c>
      <c r="P14" s="67">
        <f>'7) HR'!R25</f>
        <v/>
      </c>
      <c r="Q14" s="71">
        <f>'7) HR'!S25</f>
        <v/>
      </c>
      <c r="R14" s="62" t="inlineStr">
        <is>
          <t>Separate file</t>
        </is>
      </c>
    </row>
    <row r="15" hidden="1" outlineLevel="1" s="802">
      <c r="A15" s="28" t="n">
        <v>8</v>
      </c>
      <c r="B15" s="28" t="inlineStr">
        <is>
          <t>Facilities</t>
        </is>
      </c>
      <c r="C15" s="28" t="inlineStr">
        <is>
          <t>Peter Schaffer</t>
        </is>
      </c>
      <c r="D15" s="28" t="inlineStr">
        <is>
          <t>New facility costs in HK</t>
        </is>
      </c>
      <c r="E15" s="28" t="inlineStr">
        <is>
          <t>Work In Progress</t>
        </is>
      </c>
      <c r="F15" s="83">
        <f>'8) Facilities'!H25</f>
        <v/>
      </c>
      <c r="G15" s="34">
        <f>'8) Facilities'!I25</f>
        <v/>
      </c>
      <c r="H15" s="36">
        <f>'8) Facilities'!J25</f>
        <v/>
      </c>
      <c r="I15" s="83">
        <f>'8) Facilities'!K25</f>
        <v/>
      </c>
      <c r="J15" s="83">
        <f>'8) Facilities'!L25</f>
        <v/>
      </c>
      <c r="K15" s="38">
        <f>'8) Facilities'!M25</f>
        <v/>
      </c>
      <c r="L15" s="41">
        <f>'8) Facilities'!N25</f>
        <v/>
      </c>
      <c r="M15" s="83">
        <f>'8) Facilities'!O25</f>
        <v/>
      </c>
      <c r="N15" s="83">
        <f>'8) Facilities'!P25</f>
        <v/>
      </c>
      <c r="O15" s="34">
        <f>'8) Facilities'!Q25</f>
        <v/>
      </c>
      <c r="P15" s="36">
        <f>'8) Facilities'!R25</f>
        <v/>
      </c>
      <c r="Q15" s="38">
        <f>'8) Facilities'!S25</f>
        <v/>
      </c>
      <c r="R15" s="28" t="n"/>
    </row>
    <row r="16" hidden="1" outlineLevel="1" s="802">
      <c r="A16" s="28" t="n">
        <v>9</v>
      </c>
      <c r="B16" s="28" t="inlineStr">
        <is>
          <t>Marketing</t>
        </is>
      </c>
      <c r="C16" s="28" t="inlineStr">
        <is>
          <t>Lisa Swift</t>
        </is>
      </c>
      <c r="D16" s="28" t="n"/>
      <c r="E16" s="28" t="inlineStr">
        <is>
          <t>Complete</t>
        </is>
      </c>
      <c r="F16" s="83">
        <f>'9) Marketing'!H25</f>
        <v/>
      </c>
      <c r="G16" s="34">
        <f>'9) Marketing'!I25</f>
        <v/>
      </c>
      <c r="H16" s="36">
        <f>'9) Marketing'!J25</f>
        <v/>
      </c>
      <c r="I16" s="83">
        <f>'9) Marketing'!K25</f>
        <v/>
      </c>
      <c r="J16" s="83">
        <f>'9) Marketing'!L25</f>
        <v/>
      </c>
      <c r="K16" s="38">
        <f>'9) Marketing'!M25</f>
        <v/>
      </c>
      <c r="L16" s="41">
        <f>'9) Marketing'!N25</f>
        <v/>
      </c>
      <c r="M16" s="83">
        <f>'9) Marketing'!O25</f>
        <v/>
      </c>
      <c r="N16" s="83">
        <f>'9) Marketing'!P25</f>
        <v/>
      </c>
      <c r="O16" s="34">
        <f>'9) Marketing'!Q25</f>
        <v/>
      </c>
      <c r="P16" s="36">
        <f>'9) Marketing'!R25</f>
        <v/>
      </c>
      <c r="Q16" s="38">
        <f>'9) Marketing'!S25</f>
        <v/>
      </c>
      <c r="R16" s="28" t="n"/>
    </row>
    <row r="17" hidden="1" outlineLevel="1" s="802">
      <c r="A17" s="28" t="n">
        <v>10</v>
      </c>
      <c r="B17" s="28" t="inlineStr">
        <is>
          <t>Int'l S&amp;M</t>
        </is>
      </c>
      <c r="C17" s="28" t="inlineStr">
        <is>
          <t>Des Power</t>
        </is>
      </c>
      <c r="D17" s="28" t="n"/>
      <c r="E17" s="28" t="inlineStr">
        <is>
          <t>Complete</t>
        </is>
      </c>
      <c r="F17" s="83">
        <f>'10) Int''l S&amp;M'!H25</f>
        <v/>
      </c>
      <c r="G17" s="34">
        <f>'10) Int''l S&amp;M'!I25</f>
        <v/>
      </c>
      <c r="H17" s="36">
        <f>'10) Int''l S&amp;M'!J25</f>
        <v/>
      </c>
      <c r="I17" s="83">
        <f>'10) Int''l S&amp;M'!K25</f>
        <v/>
      </c>
      <c r="J17" s="83">
        <f>'10) Int''l S&amp;M'!L25</f>
        <v/>
      </c>
      <c r="K17" s="38">
        <f>'10) Int''l S&amp;M'!M25</f>
        <v/>
      </c>
      <c r="L17" s="41">
        <f>'10) Int''l S&amp;M'!N25</f>
        <v/>
      </c>
      <c r="M17" s="83">
        <f>'10) Int''l S&amp;M'!O25</f>
        <v/>
      </c>
      <c r="N17" s="83">
        <f>'10) Int''l S&amp;M'!P25</f>
        <v/>
      </c>
      <c r="O17" s="34">
        <f>'10) Int''l S&amp;M'!Q25</f>
        <v/>
      </c>
      <c r="P17" s="36">
        <f>'10) Int''l S&amp;M'!R25</f>
        <v/>
      </c>
      <c r="Q17" s="38">
        <f>'10) Int''l S&amp;M'!S25</f>
        <v/>
      </c>
      <c r="R17" s="28" t="n"/>
    </row>
    <row r="18" hidden="1" outlineLevel="1" s="802">
      <c r="A18" s="28" t="n">
        <v>11</v>
      </c>
      <c r="B18" s="28" t="inlineStr">
        <is>
          <t>IT - Infrastructure</t>
        </is>
      </c>
      <c r="C18" s="28" t="inlineStr">
        <is>
          <t>Bill Bragg</t>
        </is>
      </c>
      <c r="D18" s="28" t="inlineStr">
        <is>
          <t>Costs for new employees</t>
        </is>
      </c>
      <c r="E18" s="28" t="inlineStr">
        <is>
          <t>Work In Progress</t>
        </is>
      </c>
      <c r="F18" s="83">
        <f>'11) IT-Infrastructure'!H25</f>
        <v/>
      </c>
      <c r="G18" s="34">
        <f>'11) IT-Infrastructure'!I25</f>
        <v/>
      </c>
      <c r="H18" s="36">
        <f>'11) IT-Infrastructure'!J25</f>
        <v/>
      </c>
      <c r="I18" s="83">
        <f>'11) IT-Infrastructure'!K25</f>
        <v/>
      </c>
      <c r="J18" s="83">
        <f>'11) IT-Infrastructure'!L25</f>
        <v/>
      </c>
      <c r="K18" s="38">
        <f>'11) IT-Infrastructure'!M25</f>
        <v/>
      </c>
      <c r="L18" s="41">
        <f>'11) IT-Infrastructure'!N25</f>
        <v/>
      </c>
      <c r="M18" s="83">
        <f>'11) IT-Infrastructure'!O25</f>
        <v/>
      </c>
      <c r="N18" s="83">
        <f>'11) IT-Infrastructure'!P25</f>
        <v/>
      </c>
      <c r="O18" s="34">
        <f>'11) IT-Infrastructure'!Q25</f>
        <v/>
      </c>
      <c r="P18" s="36">
        <f>'11) IT-Infrastructure'!R25</f>
        <v/>
      </c>
      <c r="Q18" s="38">
        <f>'11) IT-Infrastructure'!S25</f>
        <v/>
      </c>
      <c r="R18" s="28" t="n"/>
    </row>
    <row r="19" hidden="1" outlineLevel="1" s="802">
      <c r="A19" s="28" t="n">
        <v>12</v>
      </c>
      <c r="B19" s="28" t="inlineStr">
        <is>
          <t>IT - Apps</t>
        </is>
      </c>
      <c r="C19" s="28" t="inlineStr">
        <is>
          <t>Vijay</t>
        </is>
      </c>
      <c r="D19" s="28" t="inlineStr">
        <is>
          <t>Costs for new employees</t>
        </is>
      </c>
      <c r="E19" s="28" t="inlineStr">
        <is>
          <t>Work In Progress</t>
        </is>
      </c>
      <c r="F19" s="83" t="n"/>
      <c r="G19" s="34">
        <f>'12) IT- Apps'!I25</f>
        <v/>
      </c>
      <c r="H19" s="36">
        <f>'12) IT- Apps'!J25</f>
        <v/>
      </c>
      <c r="I19" s="83">
        <f>'12) IT- Apps'!K25</f>
        <v/>
      </c>
      <c r="J19" s="83">
        <f>'12) IT- Apps'!L25</f>
        <v/>
      </c>
      <c r="K19" s="38">
        <f>'12) IT- Apps'!M25</f>
        <v/>
      </c>
      <c r="L19" s="41">
        <f>'12) IT- Apps'!N25</f>
        <v/>
      </c>
      <c r="M19" s="83">
        <f>'12) IT- Apps'!O25</f>
        <v/>
      </c>
      <c r="N19" s="83">
        <f>'12) IT- Apps'!P25</f>
        <v/>
      </c>
      <c r="O19" s="34">
        <f>'12) IT- Apps'!Q25</f>
        <v/>
      </c>
      <c r="P19" s="36">
        <f>'12) IT- Apps'!R25</f>
        <v/>
      </c>
      <c r="Q19" s="38">
        <f>'12) IT- Apps'!S25</f>
        <v/>
      </c>
      <c r="R19" s="28" t="n"/>
    </row>
    <row r="20" hidden="1" outlineLevel="1" s="802">
      <c r="A20" s="28" t="n">
        <v>13</v>
      </c>
      <c r="B20" s="28" t="inlineStr">
        <is>
          <t>IT - Security</t>
        </is>
      </c>
      <c r="C20" s="28" t="inlineStr">
        <is>
          <t>Jonathan Werrett</t>
        </is>
      </c>
      <c r="D20" s="28" t="inlineStr">
        <is>
          <t>Black duck code review</t>
        </is>
      </c>
      <c r="E20" s="28" t="inlineStr">
        <is>
          <t>Complete</t>
        </is>
      </c>
      <c r="F20" s="83">
        <f>'13) IT- Security'!H25</f>
        <v/>
      </c>
      <c r="G20" s="34">
        <f>'13) IT- Security'!I25</f>
        <v/>
      </c>
      <c r="H20" s="36">
        <f>'13) IT- Security'!J25</f>
        <v/>
      </c>
      <c r="I20" s="83">
        <f>'13) IT- Security'!K25</f>
        <v/>
      </c>
      <c r="J20" s="83">
        <f>'13) IT- Security'!L25</f>
        <v/>
      </c>
      <c r="K20" s="38">
        <f>'13) IT- Security'!M25</f>
        <v/>
      </c>
      <c r="L20" s="41">
        <f>'13) IT- Security'!N25</f>
        <v/>
      </c>
      <c r="M20" s="83">
        <f>'13) IT- Security'!O25</f>
        <v/>
      </c>
      <c r="N20" s="83">
        <f>'13) IT- Security'!P25</f>
        <v/>
      </c>
      <c r="O20" s="34">
        <f>'13) IT- Security'!Q25</f>
        <v/>
      </c>
      <c r="P20" s="36">
        <f>'13) IT- Security'!R25</f>
        <v/>
      </c>
      <c r="Q20" s="38">
        <f>'13) IT- Security'!S25</f>
        <v/>
      </c>
      <c r="R20" s="28" t="n"/>
    </row>
    <row r="21" hidden="1" outlineLevel="1" s="802">
      <c r="A21" s="28" t="n">
        <v>14</v>
      </c>
      <c r="B21" s="28" t="inlineStr">
        <is>
          <t>Operations</t>
        </is>
      </c>
      <c r="C21" s="28" t="inlineStr">
        <is>
          <t>Bobinder</t>
        </is>
      </c>
      <c r="D21" s="28" t="n"/>
      <c r="E21" s="28" t="inlineStr">
        <is>
          <t>Work In Progress</t>
        </is>
      </c>
      <c r="F21" s="83">
        <f>'14) Operations'!H25</f>
        <v/>
      </c>
      <c r="G21" s="83">
        <f>'14) Operations'!I25</f>
        <v/>
      </c>
      <c r="H21" s="83">
        <f>'14) Operations'!J25</f>
        <v/>
      </c>
      <c r="I21" s="83">
        <f>'14) Operations'!K25</f>
        <v/>
      </c>
      <c r="J21" s="83">
        <f>'14) Operations'!L25</f>
        <v/>
      </c>
      <c r="K21" s="83">
        <f>'14) Operations'!M25</f>
        <v/>
      </c>
      <c r="L21" s="83">
        <f>'14) Operations'!N25</f>
        <v/>
      </c>
      <c r="M21" s="83">
        <f>'14) Operations'!O25</f>
        <v/>
      </c>
      <c r="N21" s="97">
        <f>'14) Operations'!P25</f>
        <v/>
      </c>
      <c r="O21" s="99">
        <f>'14) Operations'!Q25</f>
        <v/>
      </c>
      <c r="P21" s="101">
        <f>'14) Operations'!R25</f>
        <v/>
      </c>
      <c r="Q21" s="102">
        <f>'14) Operations'!S25</f>
        <v/>
      </c>
      <c r="R21" s="28" t="n"/>
    </row>
    <row r="22" collapsed="1" s="802">
      <c r="A22" s="103" t="n"/>
      <c r="B22" s="28" t="n"/>
      <c r="C22" s="28" t="n"/>
      <c r="D22" s="135" t="n"/>
      <c r="E22" s="135" t="n"/>
      <c r="F22" s="105">
        <f>SUM(F6:F21)</f>
        <v/>
      </c>
      <c r="G22" s="105">
        <f>SUM(G6:G21)</f>
        <v/>
      </c>
      <c r="H22" s="106">
        <f>SUM(H6:H21)</f>
        <v/>
      </c>
      <c r="I22" s="105">
        <f>SUM(I6:I21)</f>
        <v/>
      </c>
      <c r="J22" s="105">
        <f>SUM(J6:J21)</f>
        <v/>
      </c>
      <c r="K22" s="107">
        <f>SUM(K6:K21)</f>
        <v/>
      </c>
      <c r="L22" s="106">
        <f>SUM(L6:L21)</f>
        <v/>
      </c>
      <c r="M22" s="105">
        <f>SUM(M6:M21)</f>
        <v/>
      </c>
      <c r="N22" s="105">
        <f>SUM(N6:N21)</f>
        <v/>
      </c>
      <c r="O22" s="105">
        <f>SUM(O6:O21)</f>
        <v/>
      </c>
      <c r="P22" s="106">
        <f>SUM(P6:P21)</f>
        <v/>
      </c>
      <c r="Q22" s="107">
        <f>SUM(Q6:Q21)</f>
        <v/>
      </c>
      <c r="R22" s="135" t="n"/>
    </row>
    <row r="23" ht="23.25" customHeight="1" s="802">
      <c r="A23" s="103" t="n"/>
      <c r="B23" s="28" t="n"/>
      <c r="C23" s="28" t="n"/>
      <c r="D23" s="28" t="n"/>
      <c r="E23" s="28" t="n"/>
      <c r="F23" s="801" t="n"/>
      <c r="G23" s="801" t="n"/>
      <c r="H23" s="801" t="n"/>
      <c r="I23" s="801" t="n"/>
      <c r="J23" s="801" t="n"/>
      <c r="K23" s="801" t="n"/>
      <c r="L23" s="801" t="n"/>
      <c r="M23" s="801" t="n"/>
      <c r="N23" s="801" t="n"/>
      <c r="O23" s="801" t="n"/>
      <c r="P23" s="801" t="n"/>
      <c r="Q23" s="801" t="n"/>
      <c r="R23" s="28" t="n"/>
    </row>
    <row r="24" ht="23.25" customHeight="1" s="802">
      <c r="A24" s="103" t="n"/>
      <c r="B24" s="28" t="n"/>
      <c r="C24" s="28" t="n"/>
      <c r="D24" s="28" t="n"/>
      <c r="E24" s="28" t="n"/>
      <c r="F24" s="1113" t="n"/>
      <c r="R24" s="28" t="n"/>
    </row>
    <row r="25">
      <c r="A25" s="103" t="n"/>
      <c r="C25" s="28" t="n"/>
      <c r="F25" s="1088" t="n">
        <v>2019</v>
      </c>
      <c r="G25" s="1089" t="n"/>
      <c r="H25" s="1088" t="n">
        <v>2020</v>
      </c>
      <c r="I25" s="1091" t="n"/>
      <c r="J25" s="1091" t="n"/>
      <c r="K25" s="1089" t="n"/>
      <c r="L25" s="1088" t="n">
        <v>2021</v>
      </c>
      <c r="M25" s="1091" t="n"/>
      <c r="N25" s="1091" t="n"/>
      <c r="O25" s="1089" t="n"/>
      <c r="P25" s="1088" t="n">
        <v>2022</v>
      </c>
      <c r="Q25" s="1089" t="n"/>
    </row>
    <row r="26">
      <c r="A26" s="111" t="inlineStr">
        <is>
          <t>Non Headcount</t>
        </is>
      </c>
      <c r="B26" s="112" t="n"/>
      <c r="C26" s="12" t="inlineStr">
        <is>
          <t>Owner</t>
        </is>
      </c>
      <c r="D26" s="14" t="inlineStr">
        <is>
          <t>Key Need:</t>
        </is>
      </c>
      <c r="E26" s="14" t="inlineStr">
        <is>
          <t>Status</t>
        </is>
      </c>
      <c r="F26" s="18" t="inlineStr">
        <is>
          <t>Q3</t>
        </is>
      </c>
      <c r="G26" s="26" t="inlineStr">
        <is>
          <t>Q4</t>
        </is>
      </c>
      <c r="H26" s="22" t="inlineStr">
        <is>
          <t>Q1</t>
        </is>
      </c>
      <c r="I26" s="18" t="inlineStr">
        <is>
          <t>Q2</t>
        </is>
      </c>
      <c r="J26" s="18" t="inlineStr">
        <is>
          <t>Q3</t>
        </is>
      </c>
      <c r="K26" s="26" t="inlineStr">
        <is>
          <t>Q4</t>
        </is>
      </c>
      <c r="L26" s="22" t="inlineStr">
        <is>
          <t>Q1</t>
        </is>
      </c>
      <c r="M26" s="18" t="inlineStr">
        <is>
          <t>Q2</t>
        </is>
      </c>
      <c r="N26" s="18" t="inlineStr">
        <is>
          <t>Q3</t>
        </is>
      </c>
      <c r="O26" s="26" t="inlineStr">
        <is>
          <t>Q4</t>
        </is>
      </c>
      <c r="P26" s="24" t="inlineStr">
        <is>
          <t>Q1</t>
        </is>
      </c>
      <c r="Q26" s="26" t="inlineStr">
        <is>
          <t>Q2</t>
        </is>
      </c>
      <c r="R26" s="3" t="n"/>
    </row>
    <row r="27">
      <c r="A27" s="28" t="n">
        <v>1</v>
      </c>
      <c r="B27" s="28" t="inlineStr">
        <is>
          <t>Product</t>
        </is>
      </c>
      <c r="C27" s="28" t="inlineStr">
        <is>
          <t>Jon Oakes, Ryan K</t>
        </is>
      </c>
      <c r="D27" s="28" t="n"/>
      <c r="E27" s="28" t="inlineStr">
        <is>
          <t>Complete</t>
        </is>
      </c>
      <c r="F27" s="1114">
        <f>'1) ProductUX'!H41</f>
        <v/>
      </c>
      <c r="G27" s="1115">
        <f>'1) ProductUX'!I41</f>
        <v/>
      </c>
      <c r="H27" s="1116">
        <f>'1) ProductUX'!J41</f>
        <v/>
      </c>
      <c r="I27" s="1114">
        <f>'1) ProductUX'!K41</f>
        <v/>
      </c>
      <c r="J27" s="1114">
        <f>'1) ProductUX'!L41</f>
        <v/>
      </c>
      <c r="K27" s="1117">
        <f>'1) ProductUX'!M41</f>
        <v/>
      </c>
      <c r="L27" s="1118">
        <f>'1) ProductUX'!N41</f>
        <v/>
      </c>
      <c r="M27" s="1114">
        <f>'1) ProductUX'!O41</f>
        <v/>
      </c>
      <c r="N27" s="1114">
        <f>'1) ProductUX'!P41</f>
        <v/>
      </c>
      <c r="O27" s="1115">
        <f>'1) ProductUX'!Q41</f>
        <v/>
      </c>
      <c r="P27" s="1116">
        <f>'1) ProductUX'!R41</f>
        <v/>
      </c>
      <c r="Q27" s="1117">
        <f>'1) ProductUX'!S41</f>
        <v/>
      </c>
      <c r="R27" s="28" t="n"/>
    </row>
    <row r="28">
      <c r="A28" s="28" t="n">
        <v>2</v>
      </c>
      <c r="B28" s="28" t="inlineStr">
        <is>
          <t>SW Engineering</t>
        </is>
      </c>
      <c r="C28" s="28" t="inlineStr">
        <is>
          <t>James W, Dawn</t>
        </is>
      </c>
      <c r="D28" s="28" t="inlineStr">
        <is>
          <t xml:space="preserve">Additional headcount </t>
        </is>
      </c>
      <c r="E28" s="28" t="inlineStr">
        <is>
          <t>Complete</t>
        </is>
      </c>
      <c r="F28" s="1114">
        <f>'2) SW Eng'!H41</f>
        <v/>
      </c>
      <c r="G28" s="1114">
        <f>'2) SW Eng'!I41</f>
        <v/>
      </c>
      <c r="H28" s="1114">
        <f>'2) SW Eng'!J41</f>
        <v/>
      </c>
      <c r="I28" s="1114">
        <f>'2) SW Eng'!K41</f>
        <v/>
      </c>
      <c r="J28" s="1114">
        <f>'2) SW Eng'!L41</f>
        <v/>
      </c>
      <c r="K28" s="1114">
        <f>'2) SW Eng'!M41</f>
        <v/>
      </c>
      <c r="L28" s="1114">
        <f>'2) SW Eng'!N41</f>
        <v/>
      </c>
      <c r="M28" s="1114">
        <f>'2) SW Eng'!O41</f>
        <v/>
      </c>
      <c r="N28" s="1114">
        <f>'2) SW Eng'!P41</f>
        <v/>
      </c>
      <c r="O28" s="1114">
        <f>'2) SW Eng'!Q41</f>
        <v/>
      </c>
      <c r="P28" s="1114">
        <f>'2) SW Eng'!R41</f>
        <v/>
      </c>
      <c r="Q28" s="1114">
        <f>'2) SW Eng'!S41</f>
        <v/>
      </c>
      <c r="R28" s="28" t="n"/>
    </row>
    <row r="29">
      <c r="A29" s="28" t="n">
        <v>3</v>
      </c>
      <c r="B29" s="28" t="inlineStr">
        <is>
          <t>HW Engineering</t>
        </is>
      </c>
      <c r="C29" s="28" t="inlineStr">
        <is>
          <t>Mark M</t>
        </is>
      </c>
      <c r="D29" s="28" t="n"/>
      <c r="E29" s="28" t="inlineStr">
        <is>
          <t>Complete</t>
        </is>
      </c>
      <c r="F29" s="1114">
        <f>'3) HW Eng'!H41</f>
        <v/>
      </c>
      <c r="G29" s="1115">
        <f>'3) HW Eng'!I41</f>
        <v/>
      </c>
      <c r="H29" s="1116">
        <f>'3) HW Eng'!J41</f>
        <v/>
      </c>
      <c r="I29" s="1114">
        <f>'3) HW Eng'!K41</f>
        <v/>
      </c>
      <c r="J29" s="1114">
        <f>'3) HW Eng'!L41</f>
        <v/>
      </c>
      <c r="K29" s="1117">
        <f>'3) HW Eng'!M41</f>
        <v/>
      </c>
      <c r="L29" s="1118">
        <f>'3) HW Eng'!N41</f>
        <v/>
      </c>
      <c r="M29" s="1114">
        <f>'3) HW Eng'!O41</f>
        <v/>
      </c>
      <c r="N29" s="1114">
        <f>'3) HW Eng'!P41</f>
        <v/>
      </c>
      <c r="O29" s="1115">
        <f>'3) HW Eng'!Q41</f>
        <v/>
      </c>
      <c r="P29" s="1116">
        <f>'3) HW Eng'!R41</f>
        <v/>
      </c>
      <c r="Q29" s="1117">
        <f>'3) HW Eng'!S41</f>
        <v/>
      </c>
      <c r="R29" s="28" t="n"/>
    </row>
    <row r="30">
      <c r="A30" s="28" t="n">
        <v>4</v>
      </c>
      <c r="B30" s="28" t="inlineStr">
        <is>
          <t>Accounting</t>
        </is>
      </c>
      <c r="C30" s="28" t="inlineStr">
        <is>
          <t>Audrey Zhang</t>
        </is>
      </c>
      <c r="D30" s="28" t="inlineStr">
        <is>
          <t>Integration costs, inventory write off costs</t>
        </is>
      </c>
      <c r="E30" s="28" t="inlineStr">
        <is>
          <t>Complete</t>
        </is>
      </c>
      <c r="F30" s="1114">
        <f>'4) Accounting'!H41</f>
        <v/>
      </c>
      <c r="G30" s="1115">
        <f>'4) Accounting'!I41</f>
        <v/>
      </c>
      <c r="H30" s="1116">
        <f>'4) Accounting'!J41</f>
        <v/>
      </c>
      <c r="I30" s="1114">
        <f>'4) Accounting'!K41</f>
        <v/>
      </c>
      <c r="J30" s="1114">
        <f>'4) Accounting'!L41</f>
        <v/>
      </c>
      <c r="K30" s="1117">
        <f>'4) Accounting'!M41</f>
        <v/>
      </c>
      <c r="L30" s="1118">
        <f>'4) Accounting'!N41</f>
        <v/>
      </c>
      <c r="M30" s="1114">
        <f>'4) Accounting'!O41</f>
        <v/>
      </c>
      <c r="N30" s="1114">
        <f>'4) Accounting'!P41</f>
        <v/>
      </c>
      <c r="O30" s="1115">
        <f>'4) Accounting'!Q41</f>
        <v/>
      </c>
      <c r="P30" s="1116">
        <f>'4) Accounting'!R41</f>
        <v/>
      </c>
      <c r="Q30" s="1117">
        <f>'4) Accounting'!S41</f>
        <v/>
      </c>
      <c r="R30" s="28" t="n"/>
    </row>
    <row r="31">
      <c r="A31" s="28" t="n">
        <v>5</v>
      </c>
      <c r="B31" s="28" t="inlineStr">
        <is>
          <t>Tax &amp; Treasury*</t>
        </is>
      </c>
      <c r="C31" s="28" t="inlineStr">
        <is>
          <t>Harvey, Anu</t>
        </is>
      </c>
      <c r="D31" s="28" t="inlineStr">
        <is>
          <t>Tax costs</t>
        </is>
      </c>
      <c r="E31" s="28" t="inlineStr">
        <is>
          <t>Complete</t>
        </is>
      </c>
      <c r="F31" s="1114">
        <f>'5) Tax &amp; Treasury'!H41</f>
        <v/>
      </c>
      <c r="G31" s="1115">
        <f>'5) Tax &amp; Treasury'!I41</f>
        <v/>
      </c>
      <c r="H31" s="1116">
        <f>'5) Tax &amp; Treasury'!J41</f>
        <v/>
      </c>
      <c r="I31" s="120" t="n">
        <v>12000</v>
      </c>
      <c r="J31" s="1114">
        <f>'5) Tax &amp; Treasury'!L41</f>
        <v/>
      </c>
      <c r="K31" s="1117">
        <f>'5) Tax &amp; Treasury'!M41</f>
        <v/>
      </c>
      <c r="L31" s="1118">
        <f>'5) Tax &amp; Treasury'!N41</f>
        <v/>
      </c>
      <c r="M31" s="120" t="n">
        <v>12000</v>
      </c>
      <c r="N31" s="1114">
        <f>'5) Tax &amp; Treasury'!P41</f>
        <v/>
      </c>
      <c r="O31" s="1115">
        <f>'5) Tax &amp; Treasury'!Q41</f>
        <v/>
      </c>
      <c r="P31" s="1116">
        <f>'5) Tax &amp; Treasury'!R41</f>
        <v/>
      </c>
      <c r="Q31" s="121" t="n">
        <v>12000</v>
      </c>
      <c r="R31" s="28" t="n"/>
    </row>
    <row r="32">
      <c r="A32" s="28" t="n">
        <v>6</v>
      </c>
      <c r="B32" s="28" t="inlineStr">
        <is>
          <t>Legal</t>
        </is>
      </c>
      <c r="C32" s="28" t="inlineStr">
        <is>
          <t>Nisha</t>
        </is>
      </c>
      <c r="D32" s="28" t="inlineStr">
        <is>
          <t>Legal closing costs</t>
        </is>
      </c>
      <c r="E32" s="28" t="inlineStr">
        <is>
          <t>Complete</t>
        </is>
      </c>
      <c r="F32" s="1114">
        <f>'6) Legal'!H41</f>
        <v/>
      </c>
      <c r="G32" s="1115">
        <f>'6) Legal'!I41</f>
        <v/>
      </c>
      <c r="H32" s="1116">
        <f>'6) Legal'!J41</f>
        <v/>
      </c>
      <c r="I32" s="1114">
        <f>'6) Legal'!K41</f>
        <v/>
      </c>
      <c r="J32" s="1114">
        <f>'6) Legal'!L41</f>
        <v/>
      </c>
      <c r="K32" s="1117">
        <f>'6) Legal'!M41</f>
        <v/>
      </c>
      <c r="L32" s="1118">
        <f>'6) Legal'!N41</f>
        <v/>
      </c>
      <c r="M32" s="1114">
        <f>'6) Legal'!O41</f>
        <v/>
      </c>
      <c r="N32" s="1114">
        <f>'6) Legal'!P41</f>
        <v/>
      </c>
      <c r="O32" s="1115">
        <f>'6) Legal'!Q41</f>
        <v/>
      </c>
      <c r="P32" s="1116">
        <f>'6) Legal'!R41</f>
        <v/>
      </c>
      <c r="Q32" s="1117">
        <f>'6) Legal'!S41</f>
        <v/>
      </c>
      <c r="R32" s="28" t="n"/>
    </row>
    <row r="33">
      <c r="A33" s="62" t="n">
        <v>7</v>
      </c>
      <c r="B33" s="62" t="inlineStr">
        <is>
          <t>HR</t>
        </is>
      </c>
      <c r="C33" s="62" t="inlineStr">
        <is>
          <t>Bob, Sheryl</t>
        </is>
      </c>
      <c r="D33" s="62" t="inlineStr">
        <is>
          <t>Employee related (separate file)</t>
        </is>
      </c>
      <c r="E33" s="62" t="inlineStr">
        <is>
          <t>N/A</t>
        </is>
      </c>
      <c r="F33" s="1119">
        <f>'7) HR'!H41</f>
        <v/>
      </c>
      <c r="G33" s="1120">
        <f>'7) HR'!I41</f>
        <v/>
      </c>
      <c r="H33" s="1121">
        <f>'7) HR'!J41</f>
        <v/>
      </c>
      <c r="I33" s="1119">
        <f>'7) HR'!K41</f>
        <v/>
      </c>
      <c r="J33" s="1119">
        <f>'7) HR'!L41</f>
        <v/>
      </c>
      <c r="K33" s="1122">
        <f>'7) HR'!M41</f>
        <v/>
      </c>
      <c r="L33" s="1123">
        <f>'7) HR'!N41</f>
        <v/>
      </c>
      <c r="M33" s="1119">
        <f>'7) HR'!O41</f>
        <v/>
      </c>
      <c r="N33" s="1119">
        <f>'7) HR'!P41</f>
        <v/>
      </c>
      <c r="O33" s="1120">
        <f>'7) HR'!Q41</f>
        <v/>
      </c>
      <c r="P33" s="1121">
        <f>'7) HR'!R41</f>
        <v/>
      </c>
      <c r="Q33" s="1122">
        <f>'7) HR'!S41</f>
        <v/>
      </c>
      <c r="R33" s="62" t="inlineStr">
        <is>
          <t>Separate file</t>
        </is>
      </c>
    </row>
    <row r="34">
      <c r="A34" s="28" t="n">
        <v>8</v>
      </c>
      <c r="B34" s="28" t="inlineStr">
        <is>
          <t>Facilities</t>
        </is>
      </c>
      <c r="C34" s="28" t="inlineStr">
        <is>
          <t>Peter Schaffer</t>
        </is>
      </c>
      <c r="D34" s="28" t="inlineStr">
        <is>
          <t>Current facility costs in HK</t>
        </is>
      </c>
      <c r="E34" s="28" t="inlineStr">
        <is>
          <t>Complete</t>
        </is>
      </c>
      <c r="F34" s="1114">
        <f>'8) Facilities'!H41</f>
        <v/>
      </c>
      <c r="G34" s="1115">
        <f>'8) Facilities'!I41</f>
        <v/>
      </c>
      <c r="H34" s="1116">
        <f>'8) Facilities'!J41</f>
        <v/>
      </c>
      <c r="I34" s="1114">
        <f>'8) Facilities'!K41</f>
        <v/>
      </c>
      <c r="J34" s="1114">
        <f>'8) Facilities'!L41</f>
        <v/>
      </c>
      <c r="K34" s="1117">
        <f>'8) Facilities'!M41</f>
        <v/>
      </c>
      <c r="L34" s="1118">
        <f>'8) Facilities'!N41</f>
        <v/>
      </c>
      <c r="M34" s="1114">
        <f>'8) Facilities'!O41</f>
        <v/>
      </c>
      <c r="N34" s="1114">
        <f>'8) Facilities'!P41</f>
        <v/>
      </c>
      <c r="O34" s="1115">
        <f>'8) Facilities'!Q41</f>
        <v/>
      </c>
      <c r="P34" s="1116">
        <f>'8) Facilities'!R41</f>
        <v/>
      </c>
      <c r="Q34" s="1117">
        <f>'8) Facilities'!S41</f>
        <v/>
      </c>
      <c r="R34" s="28" t="n"/>
    </row>
    <row r="35">
      <c r="A35" s="28" t="n">
        <v>9</v>
      </c>
      <c r="B35" s="28" t="inlineStr">
        <is>
          <t>Marketing</t>
        </is>
      </c>
      <c r="C35" s="28" t="inlineStr">
        <is>
          <t>Lisa Swift</t>
        </is>
      </c>
      <c r="D35" s="28" t="n"/>
      <c r="E35" s="28" t="inlineStr">
        <is>
          <t>Complete</t>
        </is>
      </c>
      <c r="F35" s="1114">
        <f>'9) Marketing'!H41</f>
        <v/>
      </c>
      <c r="G35" s="1115">
        <f>'9) Marketing'!I41</f>
        <v/>
      </c>
      <c r="H35" s="1116">
        <f>'9) Marketing'!J41</f>
        <v/>
      </c>
      <c r="I35" s="1114">
        <f>'9) Marketing'!K41</f>
        <v/>
      </c>
      <c r="J35" s="1114">
        <f>'9) Marketing'!L41</f>
        <v/>
      </c>
      <c r="K35" s="1117">
        <f>'9) Marketing'!M41</f>
        <v/>
      </c>
      <c r="L35" s="1118">
        <f>'9) Marketing'!N41</f>
        <v/>
      </c>
      <c r="M35" s="1114">
        <f>'9) Marketing'!O41</f>
        <v/>
      </c>
      <c r="N35" s="1114">
        <f>'9) Marketing'!P41</f>
        <v/>
      </c>
      <c r="O35" s="1115">
        <f>'9) Marketing'!Q41</f>
        <v/>
      </c>
      <c r="P35" s="1116">
        <f>'9) Marketing'!R41</f>
        <v/>
      </c>
      <c r="Q35" s="1117">
        <f>'9) Marketing'!S41</f>
        <v/>
      </c>
      <c r="R35" s="28" t="n"/>
    </row>
    <row r="36">
      <c r="A36" s="28" t="n">
        <v>10</v>
      </c>
      <c r="B36" s="28" t="inlineStr">
        <is>
          <t>Int'l S&amp;M</t>
        </is>
      </c>
      <c r="C36" s="28" t="inlineStr">
        <is>
          <t>Des Power</t>
        </is>
      </c>
      <c r="D36" s="28" t="n"/>
      <c r="E36" s="28" t="inlineStr">
        <is>
          <t>Complete</t>
        </is>
      </c>
      <c r="F36" s="1114">
        <f>'10) Int''l S&amp;M'!H41</f>
        <v/>
      </c>
      <c r="G36" s="1115">
        <f>'10) Int''l S&amp;M'!I41</f>
        <v/>
      </c>
      <c r="H36" s="1116">
        <f>'10) Int''l S&amp;M'!J41</f>
        <v/>
      </c>
      <c r="I36" s="1114">
        <f>'10) Int''l S&amp;M'!K41</f>
        <v/>
      </c>
      <c r="J36" s="1114">
        <f>'10) Int''l S&amp;M'!L41</f>
        <v/>
      </c>
      <c r="K36" s="1117">
        <f>'10) Int''l S&amp;M'!M41</f>
        <v/>
      </c>
      <c r="L36" s="1118">
        <f>'10) Int''l S&amp;M'!N41</f>
        <v/>
      </c>
      <c r="M36" s="1114">
        <f>'10) Int''l S&amp;M'!O41</f>
        <v/>
      </c>
      <c r="N36" s="1114">
        <f>'10) Int''l S&amp;M'!P41</f>
        <v/>
      </c>
      <c r="O36" s="1115">
        <f>'10) Int''l S&amp;M'!Q41</f>
        <v/>
      </c>
      <c r="P36" s="1116">
        <f>'10) Int''l S&amp;M'!R41</f>
        <v/>
      </c>
      <c r="Q36" s="1117">
        <f>'10) Int''l S&amp;M'!S41</f>
        <v/>
      </c>
      <c r="R36" s="28" t="n"/>
    </row>
    <row r="37" ht="30" customHeight="1" s="802">
      <c r="A37" s="28" t="n">
        <v>11</v>
      </c>
      <c r="B37" s="28" t="inlineStr">
        <is>
          <t>IT - Infrastructure</t>
        </is>
      </c>
      <c r="C37" s="28" t="inlineStr">
        <is>
          <t>Bill Bragg</t>
        </is>
      </c>
      <c r="D37" s="127" t="inlineStr">
        <is>
          <t>Costs for new employees, tools &amp; facility wifi</t>
        </is>
      </c>
      <c r="E37" s="28" t="inlineStr">
        <is>
          <t>Complete</t>
        </is>
      </c>
      <c r="F37" s="1114">
        <f>'11) IT-Infrastructure'!H41</f>
        <v/>
      </c>
      <c r="G37" s="1115">
        <f>'11) IT-Infrastructure'!I41</f>
        <v/>
      </c>
      <c r="H37" s="1116">
        <f>'11) IT-Infrastructure'!J41</f>
        <v/>
      </c>
      <c r="I37" s="1114">
        <f>'11) IT-Infrastructure'!K41</f>
        <v/>
      </c>
      <c r="J37" s="1114">
        <f>'11) IT-Infrastructure'!L41</f>
        <v/>
      </c>
      <c r="K37" s="1117">
        <f>'11) IT-Infrastructure'!M41</f>
        <v/>
      </c>
      <c r="L37" s="1118">
        <f>'11) IT-Infrastructure'!N41</f>
        <v/>
      </c>
      <c r="M37" s="1114">
        <f>'11) IT-Infrastructure'!O41</f>
        <v/>
      </c>
      <c r="N37" s="1114">
        <f>'11) IT-Infrastructure'!P41</f>
        <v/>
      </c>
      <c r="O37" s="1115">
        <f>'11) IT-Infrastructure'!Q41</f>
        <v/>
      </c>
      <c r="P37" s="1116">
        <f>'11) IT-Infrastructure'!R41</f>
        <v/>
      </c>
      <c r="Q37" s="1117">
        <f>'11) IT-Infrastructure'!S41</f>
        <v/>
      </c>
      <c r="R37" s="28" t="n"/>
    </row>
    <row r="38">
      <c r="A38" s="28" t="n">
        <v>12</v>
      </c>
      <c r="B38" s="28" t="inlineStr">
        <is>
          <t>IT - Apps</t>
        </is>
      </c>
      <c r="C38" s="28" t="inlineStr">
        <is>
          <t>Vijay</t>
        </is>
      </c>
      <c r="D38" s="28" t="inlineStr">
        <is>
          <t>Costs for new employees</t>
        </is>
      </c>
      <c r="E38" s="28" t="inlineStr">
        <is>
          <t>Complete</t>
        </is>
      </c>
      <c r="F38" s="1114">
        <f>'12) IT- Apps'!H41</f>
        <v/>
      </c>
      <c r="G38" s="1115">
        <f>'12) IT- Apps'!I41</f>
        <v/>
      </c>
      <c r="H38" s="1116">
        <f>'12) IT- Apps'!J41</f>
        <v/>
      </c>
      <c r="I38" s="1114">
        <f>'12) IT- Apps'!K41</f>
        <v/>
      </c>
      <c r="J38" s="1114">
        <f>'12) IT- Apps'!L41</f>
        <v/>
      </c>
      <c r="K38" s="1117">
        <f>'12) IT- Apps'!M41</f>
        <v/>
      </c>
      <c r="L38" s="1118">
        <f>'12) IT- Apps'!N41</f>
        <v/>
      </c>
      <c r="M38" s="1114">
        <f>'12) IT- Apps'!O41</f>
        <v/>
      </c>
      <c r="N38" s="1114">
        <f>'12) IT- Apps'!P41</f>
        <v/>
      </c>
      <c r="O38" s="1115">
        <f>'12) IT- Apps'!Q41</f>
        <v/>
      </c>
      <c r="P38" s="1116">
        <f>'12) IT- Apps'!R41</f>
        <v/>
      </c>
      <c r="Q38" s="1117">
        <f>'12) IT- Apps'!S41</f>
        <v/>
      </c>
      <c r="R38" s="28" t="n"/>
    </row>
    <row r="39">
      <c r="A39" s="28" t="n">
        <v>13</v>
      </c>
      <c r="B39" s="28" t="inlineStr">
        <is>
          <t>IT - Security</t>
        </is>
      </c>
      <c r="C39" s="28" t="inlineStr">
        <is>
          <t>Jonathan Werrett</t>
        </is>
      </c>
      <c r="D39" s="28" t="inlineStr">
        <is>
          <t>Code review &amp; security assessment</t>
        </is>
      </c>
      <c r="E39" s="28" t="inlineStr">
        <is>
          <t>Complete</t>
        </is>
      </c>
      <c r="F39" s="1114">
        <f>'13) IT- Security'!H41</f>
        <v/>
      </c>
      <c r="G39" s="1115">
        <f>'13) IT- Security'!I41</f>
        <v/>
      </c>
      <c r="H39" s="1116">
        <f>'13) IT- Security'!J41</f>
        <v/>
      </c>
      <c r="I39" s="1114">
        <f>'13) IT- Security'!K41</f>
        <v/>
      </c>
      <c r="J39" s="1114">
        <f>'13) IT- Security'!L41</f>
        <v/>
      </c>
      <c r="K39" s="1117">
        <f>'13) IT- Security'!M41</f>
        <v/>
      </c>
      <c r="L39" s="1118">
        <f>'13) IT- Security'!N41</f>
        <v/>
      </c>
      <c r="M39" s="1114">
        <f>'13) IT- Security'!O41</f>
        <v/>
      </c>
      <c r="N39" s="1114">
        <f>'13) IT- Security'!P41</f>
        <v/>
      </c>
      <c r="O39" s="1115">
        <f>'13) IT- Security'!Q41</f>
        <v/>
      </c>
      <c r="P39" s="1116">
        <f>'13) IT- Security'!R41</f>
        <v/>
      </c>
      <c r="Q39" s="1117">
        <f>'13) IT- Security'!S41</f>
        <v/>
      </c>
      <c r="R39" s="28" t="n"/>
    </row>
    <row r="40">
      <c r="A40" s="28" t="n">
        <v>14</v>
      </c>
      <c r="B40" s="28" t="inlineStr">
        <is>
          <t>Operations</t>
        </is>
      </c>
      <c r="C40" s="28" t="inlineStr">
        <is>
          <t>Bobinder</t>
        </is>
      </c>
      <c r="D40" s="28" t="n"/>
      <c r="E40" s="28" t="inlineStr">
        <is>
          <t>Complete</t>
        </is>
      </c>
      <c r="F40" s="1124">
        <f>'14) Operations'!H41</f>
        <v/>
      </c>
      <c r="G40" s="1124">
        <f>'14) Operations'!I41</f>
        <v/>
      </c>
      <c r="H40" s="1124">
        <f>'14) Operations'!J41</f>
        <v/>
      </c>
      <c r="I40" s="1124">
        <f>'14) Operations'!K41</f>
        <v/>
      </c>
      <c r="J40" s="1124">
        <f>'14) Operations'!L41</f>
        <v/>
      </c>
      <c r="K40" s="1125">
        <f>'14) Operations'!M41</f>
        <v/>
      </c>
      <c r="L40" s="1126">
        <f>'14) Operations'!N41</f>
        <v/>
      </c>
      <c r="M40" s="1124">
        <f>'14) Operations'!O41</f>
        <v/>
      </c>
      <c r="N40" s="1124">
        <f>'14) Operations'!P41</f>
        <v/>
      </c>
      <c r="O40" s="1127">
        <f>'14) Operations'!Q41</f>
        <v/>
      </c>
      <c r="P40" s="1128">
        <f>'14) Operations'!R41</f>
        <v/>
      </c>
      <c r="Q40" s="1125">
        <f>'14) Operations'!S41</f>
        <v/>
      </c>
      <c r="R40" s="28" t="n"/>
    </row>
    <row r="41">
      <c r="D41" s="135" t="n"/>
      <c r="E41" s="135" t="n"/>
      <c r="F41" s="1129">
        <f>SUM(F27:F40)</f>
        <v/>
      </c>
      <c r="G41" s="1130">
        <f>SUM(G27:G40)</f>
        <v/>
      </c>
      <c r="H41" s="1131">
        <f>SUM(H27:H40)</f>
        <v/>
      </c>
      <c r="I41" s="1129">
        <f>SUM(I27:I40)</f>
        <v/>
      </c>
      <c r="J41" s="1129">
        <f>SUM(J27:J40)</f>
        <v/>
      </c>
      <c r="K41" s="1129">
        <f>SUM(K27:K40)</f>
        <v/>
      </c>
      <c r="L41" s="1131">
        <f>SUM(L27:L40)</f>
        <v/>
      </c>
      <c r="M41" s="1129">
        <f>SUM(M27:M40)</f>
        <v/>
      </c>
      <c r="N41" s="1129">
        <f>SUM(N27:N40)</f>
        <v/>
      </c>
      <c r="O41" s="1129">
        <f>SUM(O27:O40)</f>
        <v/>
      </c>
      <c r="P41" s="1131">
        <f>SUM(P27:P40)</f>
        <v/>
      </c>
      <c r="Q41" s="1132">
        <f>SUM(Q27:Q40)</f>
        <v/>
      </c>
      <c r="R41" s="135" t="n"/>
    </row>
    <row r="42">
      <c r="B42" s="140" t="inlineStr">
        <is>
          <t>*Ongoing tax compliance costs assuming target entity still exists for any portion of prior year. Assumes target is already compliant with 2018 filings.</t>
        </is>
      </c>
      <c r="I42" s="2" t="n"/>
    </row>
    <row r="43" ht="18.75" customHeight="1" s="802">
      <c r="A43" s="141" t="n"/>
      <c r="B43" s="142" t="inlineStr">
        <is>
          <t>TOTAL</t>
        </is>
      </c>
      <c r="C43" s="141" t="n"/>
      <c r="D43" s="141" t="n"/>
      <c r="E43" s="141" t="n"/>
      <c r="F43" s="1133">
        <f>F41+F22</f>
        <v/>
      </c>
      <c r="G43" s="1133">
        <f>G41+G22</f>
        <v/>
      </c>
      <c r="H43" s="1134">
        <f>H41+H22</f>
        <v/>
      </c>
      <c r="I43" s="1133">
        <f>I41+I22</f>
        <v/>
      </c>
      <c r="J43" s="1133">
        <f>J41+J22</f>
        <v/>
      </c>
      <c r="K43" s="1135">
        <f>K41+K22</f>
        <v/>
      </c>
      <c r="L43" s="1133">
        <f>L41+L22</f>
        <v/>
      </c>
      <c r="M43" s="1133">
        <f>M41+M22</f>
        <v/>
      </c>
      <c r="N43" s="1133">
        <f>N41+N22</f>
        <v/>
      </c>
      <c r="O43" s="1135">
        <f>O41+O22</f>
        <v/>
      </c>
      <c r="P43" s="1133">
        <f>P41+P22</f>
        <v/>
      </c>
      <c r="Q43" s="1135">
        <f>Q41+Q22</f>
        <v/>
      </c>
    </row>
    <row r="44">
      <c r="I44" s="2" t="n"/>
    </row>
    <row r="45">
      <c r="I45" s="2" t="n"/>
    </row>
    <row r="46">
      <c r="I46" s="2" t="n"/>
    </row>
    <row r="47">
      <c r="I47" s="2" t="n"/>
    </row>
    <row r="48">
      <c r="I48" s="2" t="n"/>
    </row>
    <row r="49">
      <c r="I49" s="2" t="n"/>
    </row>
    <row r="50">
      <c r="I50" s="2" t="n"/>
    </row>
    <row r="51">
      <c r="I51" s="2" t="n"/>
    </row>
    <row r="52">
      <c r="I52" s="2" t="n"/>
    </row>
    <row r="53">
      <c r="I53" s="2" t="n"/>
    </row>
    <row r="54">
      <c r="I54" s="2" t="n"/>
    </row>
    <row r="55">
      <c r="I55" s="2" t="n"/>
    </row>
    <row r="56">
      <c r="I56" s="2" t="n"/>
    </row>
    <row r="57">
      <c r="I57" s="2" t="n"/>
    </row>
    <row r="58">
      <c r="I58" s="2" t="n"/>
    </row>
    <row r="59">
      <c r="I59" s="2" t="n"/>
    </row>
    <row r="60">
      <c r="I60" s="2" t="n"/>
    </row>
    <row r="61">
      <c r="I61" s="2" t="n"/>
    </row>
    <row r="62">
      <c r="I62" s="2" t="n"/>
    </row>
    <row r="63">
      <c r="I63" s="2" t="n"/>
    </row>
    <row r="64">
      <c r="I64" s="2" t="n"/>
    </row>
    <row r="65">
      <c r="I65" s="2" t="n"/>
    </row>
    <row r="66">
      <c r="I66" s="2" t="n"/>
    </row>
    <row r="67">
      <c r="I67" s="2" t="n"/>
    </row>
    <row r="68">
      <c r="I68" s="2" t="n"/>
    </row>
    <row r="69">
      <c r="I69" s="2" t="n"/>
    </row>
    <row r="70">
      <c r="I70" s="2" t="n"/>
    </row>
    <row r="71">
      <c r="I71" s="2" t="n"/>
    </row>
    <row r="72">
      <c r="I72" s="2" t="n"/>
    </row>
    <row r="73">
      <c r="I73" s="2" t="n"/>
    </row>
    <row r="74">
      <c r="I74" s="2" t="n"/>
    </row>
    <row r="75">
      <c r="I75" s="2" t="n"/>
    </row>
    <row r="76">
      <c r="I76" s="2" t="n"/>
    </row>
    <row r="77">
      <c r="I77" s="2" t="n"/>
    </row>
    <row r="78">
      <c r="I78" s="2" t="n"/>
    </row>
    <row r="79">
      <c r="I79" s="2" t="n"/>
    </row>
    <row r="80">
      <c r="I80" s="2" t="n"/>
    </row>
    <row r="81">
      <c r="I81" s="2" t="n"/>
    </row>
    <row r="82">
      <c r="I82" s="2" t="n"/>
    </row>
    <row r="83">
      <c r="I83" s="2" t="n"/>
    </row>
    <row r="84">
      <c r="I84" s="2" t="n"/>
    </row>
    <row r="85">
      <c r="I85" s="2" t="n"/>
    </row>
    <row r="86">
      <c r="I86" s="2" t="n"/>
    </row>
    <row r="87">
      <c r="I87" s="2" t="n"/>
    </row>
    <row r="88">
      <c r="I88" s="2" t="n"/>
    </row>
    <row r="89">
      <c r="I89" s="2" t="n"/>
    </row>
    <row r="90">
      <c r="I90" s="2" t="n"/>
    </row>
    <row r="91">
      <c r="I91" s="2" t="n"/>
    </row>
    <row r="92">
      <c r="I92" s="2" t="n"/>
    </row>
    <row r="93">
      <c r="I93" s="2" t="n"/>
    </row>
    <row r="94">
      <c r="I94" s="2" t="n"/>
    </row>
    <row r="95">
      <c r="I95" s="2" t="n"/>
    </row>
    <row r="96">
      <c r="I96" s="2" t="n"/>
    </row>
    <row r="97">
      <c r="I97" s="2" t="n"/>
    </row>
    <row r="98">
      <c r="I98" s="2" t="n"/>
    </row>
    <row r="99">
      <c r="I99" s="2" t="n"/>
    </row>
    <row r="100">
      <c r="I100" s="2" t="n"/>
    </row>
    <row r="101">
      <c r="I101" s="2" t="n"/>
    </row>
    <row r="102">
      <c r="I102" s="2" t="n"/>
    </row>
    <row r="103">
      <c r="I103" s="2" t="n"/>
    </row>
    <row r="104">
      <c r="I104" s="2" t="n"/>
    </row>
    <row r="105">
      <c r="I105" s="2" t="n"/>
    </row>
    <row r="106">
      <c r="I106" s="2" t="n"/>
    </row>
    <row r="107">
      <c r="I107" s="2" t="n"/>
    </row>
    <row r="108">
      <c r="I108" s="2" t="n"/>
    </row>
    <row r="109">
      <c r="I109" s="2" t="n"/>
    </row>
    <row r="110">
      <c r="I110" s="2" t="n"/>
    </row>
    <row r="111">
      <c r="I111" s="2" t="n"/>
    </row>
    <row r="112">
      <c r="I112" s="2" t="n"/>
    </row>
    <row r="113">
      <c r="I113" s="2" t="n"/>
    </row>
    <row r="114">
      <c r="I114" s="2" t="n"/>
    </row>
    <row r="115">
      <c r="I115" s="2" t="n"/>
    </row>
    <row r="116">
      <c r="I116" s="2" t="n"/>
    </row>
    <row r="117">
      <c r="I117" s="2" t="n"/>
    </row>
    <row r="118">
      <c r="I118" s="2" t="n"/>
    </row>
    <row r="119">
      <c r="I119" s="2" t="n"/>
    </row>
    <row r="120">
      <c r="I120" s="2" t="n"/>
    </row>
    <row r="121">
      <c r="I121" s="2" t="n"/>
    </row>
    <row r="122">
      <c r="I122" s="2" t="n"/>
    </row>
    <row r="123">
      <c r="I123" s="2" t="n"/>
    </row>
    <row r="124">
      <c r="I124" s="2" t="n"/>
    </row>
    <row r="125">
      <c r="I125" s="2" t="n"/>
    </row>
    <row r="126">
      <c r="I126" s="2" t="n"/>
    </row>
    <row r="127">
      <c r="I127" s="2" t="n"/>
    </row>
    <row r="128">
      <c r="I128" s="2" t="n"/>
    </row>
    <row r="129">
      <c r="I129" s="2" t="n"/>
    </row>
    <row r="130">
      <c r="I130" s="2" t="n"/>
    </row>
    <row r="131">
      <c r="I131" s="2" t="n"/>
    </row>
    <row r="132">
      <c r="I132" s="2" t="n"/>
    </row>
    <row r="133">
      <c r="I133" s="2" t="n"/>
    </row>
    <row r="134">
      <c r="I134" s="2" t="n"/>
    </row>
    <row r="135">
      <c r="I135" s="2" t="n"/>
    </row>
    <row r="136">
      <c r="I136" s="2" t="n"/>
    </row>
    <row r="137">
      <c r="I137" s="2" t="n"/>
    </row>
    <row r="138">
      <c r="I138" s="2" t="n"/>
    </row>
    <row r="139">
      <c r="I139" s="2" t="n"/>
    </row>
    <row r="140">
      <c r="I140" s="2" t="n"/>
    </row>
    <row r="141">
      <c r="I141" s="2" t="n"/>
    </row>
    <row r="142">
      <c r="I142" s="2" t="n"/>
    </row>
    <row r="143">
      <c r="I143" s="2" t="n"/>
    </row>
    <row r="144">
      <c r="I144" s="2" t="n"/>
    </row>
    <row r="145">
      <c r="I145" s="2" t="n"/>
    </row>
    <row r="146">
      <c r="I146" s="2" t="n"/>
    </row>
    <row r="147">
      <c r="I147" s="2" t="n"/>
    </row>
    <row r="148">
      <c r="I148" s="2" t="n"/>
    </row>
    <row r="149">
      <c r="I149" s="2" t="n"/>
    </row>
    <row r="150">
      <c r="I150" s="2" t="n"/>
    </row>
    <row r="151">
      <c r="I151" s="2" t="n"/>
    </row>
    <row r="152">
      <c r="I152" s="2" t="n"/>
    </row>
    <row r="153">
      <c r="I153" s="2" t="n"/>
    </row>
    <row r="154">
      <c r="I154" s="2" t="n"/>
    </row>
    <row r="155">
      <c r="I155" s="2" t="n"/>
    </row>
    <row r="156">
      <c r="I156" s="2" t="n"/>
    </row>
    <row r="157">
      <c r="I157" s="2" t="n"/>
    </row>
    <row r="158">
      <c r="I158" s="2" t="n"/>
    </row>
    <row r="159">
      <c r="I159" s="2" t="n"/>
    </row>
    <row r="160">
      <c r="I160" s="2" t="n"/>
    </row>
    <row r="161">
      <c r="I161" s="2" t="n"/>
    </row>
    <row r="162">
      <c r="I162" s="2" t="n"/>
    </row>
    <row r="163">
      <c r="I163" s="2" t="n"/>
    </row>
    <row r="164">
      <c r="I164" s="2" t="n"/>
    </row>
    <row r="165">
      <c r="I165" s="2" t="n"/>
    </row>
    <row r="166">
      <c r="I166" s="2" t="n"/>
    </row>
    <row r="167">
      <c r="I167" s="2" t="n"/>
    </row>
    <row r="168">
      <c r="I168" s="2" t="n"/>
    </row>
    <row r="169">
      <c r="I169" s="2" t="n"/>
    </row>
    <row r="170">
      <c r="I170" s="2" t="n"/>
    </row>
    <row r="171">
      <c r="I171" s="2" t="n"/>
    </row>
    <row r="172">
      <c r="I172" s="2" t="n"/>
    </row>
    <row r="173">
      <c r="I173" s="2" t="n"/>
    </row>
    <row r="174">
      <c r="I174" s="2" t="n"/>
    </row>
    <row r="175">
      <c r="I175" s="2" t="n"/>
    </row>
    <row r="176">
      <c r="I176" s="2" t="n"/>
    </row>
    <row r="177">
      <c r="I177" s="2" t="n"/>
    </row>
    <row r="178">
      <c r="I178" s="2" t="n"/>
    </row>
    <row r="179">
      <c r="I179" s="2" t="n"/>
    </row>
    <row r="180">
      <c r="I180" s="2" t="n"/>
    </row>
    <row r="181">
      <c r="I181" s="2" t="n"/>
    </row>
    <row r="182">
      <c r="I182" s="2" t="n"/>
    </row>
    <row r="183">
      <c r="I183" s="2" t="n"/>
    </row>
    <row r="184">
      <c r="I184" s="2" t="n"/>
    </row>
    <row r="185">
      <c r="I185" s="2" t="n"/>
    </row>
    <row r="186">
      <c r="I186" s="2" t="n"/>
    </row>
    <row r="187">
      <c r="I187" s="2" t="n"/>
    </row>
    <row r="188">
      <c r="I188" s="2" t="n"/>
    </row>
    <row r="189">
      <c r="I189" s="2" t="n"/>
    </row>
    <row r="190">
      <c r="I190" s="2" t="n"/>
    </row>
    <row r="191">
      <c r="I191" s="2" t="n"/>
    </row>
    <row r="192">
      <c r="I192" s="2" t="n"/>
    </row>
    <row r="193">
      <c r="I193" s="2" t="n"/>
    </row>
    <row r="194">
      <c r="I194" s="2" t="n"/>
    </row>
    <row r="195">
      <c r="I195" s="2" t="n"/>
    </row>
    <row r="196">
      <c r="I196" s="2" t="n"/>
    </row>
    <row r="197">
      <c r="I197" s="2" t="n"/>
    </row>
    <row r="198">
      <c r="I198" s="2" t="n"/>
    </row>
    <row r="199">
      <c r="I199" s="2" t="n"/>
    </row>
    <row r="200">
      <c r="I200" s="2" t="n"/>
    </row>
    <row r="201">
      <c r="I201" s="2" t="n"/>
    </row>
    <row r="202">
      <c r="I202" s="2" t="n"/>
    </row>
    <row r="203">
      <c r="I203" s="2" t="n"/>
    </row>
    <row r="204">
      <c r="I204" s="2" t="n"/>
    </row>
    <row r="205">
      <c r="I205" s="2" t="n"/>
    </row>
    <row r="206">
      <c r="I206" s="2" t="n"/>
    </row>
    <row r="207">
      <c r="I207" s="2" t="n"/>
    </row>
    <row r="208">
      <c r="I208" s="2" t="n"/>
    </row>
    <row r="209">
      <c r="I209" s="2" t="n"/>
    </row>
    <row r="210">
      <c r="I210" s="2" t="n"/>
    </row>
    <row r="211">
      <c r="I211" s="2" t="n"/>
    </row>
    <row r="212">
      <c r="I212" s="2" t="n"/>
    </row>
    <row r="213">
      <c r="I213" s="2" t="n"/>
    </row>
    <row r="214">
      <c r="I214" s="2" t="n"/>
    </row>
    <row r="215">
      <c r="I215" s="2" t="n"/>
    </row>
    <row r="216">
      <c r="I216" s="2" t="n"/>
    </row>
    <row r="217">
      <c r="I217" s="2" t="n"/>
    </row>
    <row r="218">
      <c r="I218" s="2" t="n"/>
    </row>
    <row r="219">
      <c r="I219" s="2" t="n"/>
    </row>
    <row r="220">
      <c r="I220" s="2" t="n"/>
    </row>
    <row r="221">
      <c r="I221" s="2" t="n"/>
    </row>
    <row r="222">
      <c r="I222" s="2" t="n"/>
    </row>
    <row r="223">
      <c r="I223" s="2" t="n"/>
    </row>
    <row r="224">
      <c r="I224" s="2" t="n"/>
    </row>
    <row r="225">
      <c r="I225" s="2" t="n"/>
    </row>
    <row r="226">
      <c r="I226" s="2" t="n"/>
    </row>
    <row r="227">
      <c r="I227" s="2" t="n"/>
    </row>
    <row r="228">
      <c r="I228" s="2" t="n"/>
    </row>
    <row r="229">
      <c r="I229" s="2" t="n"/>
    </row>
    <row r="230">
      <c r="I230" s="2" t="n"/>
    </row>
    <row r="231">
      <c r="I231" s="2" t="n"/>
    </row>
    <row r="232">
      <c r="I232" s="2" t="n"/>
    </row>
    <row r="233">
      <c r="I233" s="2" t="n"/>
    </row>
    <row r="234">
      <c r="I234" s="2" t="n"/>
    </row>
    <row r="235">
      <c r="I235" s="2" t="n"/>
    </row>
    <row r="236">
      <c r="I236" s="2" t="n"/>
    </row>
    <row r="237">
      <c r="I237" s="2" t="n"/>
    </row>
    <row r="238">
      <c r="I238" s="2" t="n"/>
    </row>
    <row r="239">
      <c r="I239" s="2" t="n"/>
    </row>
    <row r="240">
      <c r="I240" s="2" t="n"/>
    </row>
    <row r="241">
      <c r="I241" s="2" t="n"/>
    </row>
    <row r="242">
      <c r="I242" s="2" t="n"/>
    </row>
    <row r="243">
      <c r="I243" s="2" t="n"/>
    </row>
    <row r="244">
      <c r="I244" s="2" t="n"/>
    </row>
    <row r="245">
      <c r="I245" s="2" t="n"/>
    </row>
    <row r="246">
      <c r="I246" s="2" t="n"/>
    </row>
    <row r="247">
      <c r="I247" s="2" t="n"/>
    </row>
    <row r="248">
      <c r="I248" s="2" t="n"/>
    </row>
    <row r="249">
      <c r="I249" s="2" t="n"/>
    </row>
    <row r="250">
      <c r="I250" s="2" t="n"/>
    </row>
    <row r="251">
      <c r="I251" s="2" t="n"/>
    </row>
    <row r="252">
      <c r="I252" s="2" t="n"/>
    </row>
    <row r="253">
      <c r="I253" s="2" t="n"/>
    </row>
    <row r="254">
      <c r="I254" s="2" t="n"/>
    </row>
    <row r="255">
      <c r="I255" s="2" t="n"/>
    </row>
    <row r="256">
      <c r="I256" s="2" t="n"/>
    </row>
    <row r="257">
      <c r="I257" s="2" t="n"/>
    </row>
    <row r="258">
      <c r="I258" s="2" t="n"/>
    </row>
    <row r="259">
      <c r="I259" s="2" t="n"/>
    </row>
    <row r="260">
      <c r="I260" s="2" t="n"/>
    </row>
    <row r="261">
      <c r="I261" s="2" t="n"/>
    </row>
    <row r="262">
      <c r="I262" s="2" t="n"/>
    </row>
    <row r="263">
      <c r="I263" s="2" t="n"/>
    </row>
    <row r="264">
      <c r="I264" s="2" t="n"/>
    </row>
    <row r="265">
      <c r="I265" s="2" t="n"/>
    </row>
    <row r="266">
      <c r="I266" s="2" t="n"/>
    </row>
    <row r="267">
      <c r="I267" s="2" t="n"/>
    </row>
    <row r="268">
      <c r="I268" s="2" t="n"/>
    </row>
    <row r="269">
      <c r="I269" s="2" t="n"/>
    </row>
    <row r="270">
      <c r="I270" s="2" t="n"/>
    </row>
    <row r="271">
      <c r="I271" s="2" t="n"/>
    </row>
    <row r="272">
      <c r="I272" s="2" t="n"/>
    </row>
    <row r="273">
      <c r="I273" s="2" t="n"/>
    </row>
    <row r="274">
      <c r="I274" s="2" t="n"/>
    </row>
    <row r="275">
      <c r="I275" s="2" t="n"/>
    </row>
    <row r="276">
      <c r="I276" s="2" t="n"/>
    </row>
    <row r="277">
      <c r="I277" s="2" t="n"/>
    </row>
    <row r="278">
      <c r="I278" s="2" t="n"/>
    </row>
    <row r="279">
      <c r="I279" s="2" t="n"/>
    </row>
    <row r="280">
      <c r="I280" s="2" t="n"/>
    </row>
    <row r="281">
      <c r="I281" s="2" t="n"/>
    </row>
    <row r="282">
      <c r="I282" s="2" t="n"/>
    </row>
    <row r="283">
      <c r="I283" s="2" t="n"/>
    </row>
    <row r="284">
      <c r="I284" s="2" t="n"/>
    </row>
    <row r="285">
      <c r="I285" s="2" t="n"/>
    </row>
    <row r="286">
      <c r="I286" s="2" t="n"/>
    </row>
    <row r="287">
      <c r="I287" s="2" t="n"/>
    </row>
    <row r="288">
      <c r="I288" s="2" t="n"/>
    </row>
    <row r="289">
      <c r="I289" s="2" t="n"/>
    </row>
    <row r="290">
      <c r="I290" s="2" t="n"/>
    </row>
    <row r="291">
      <c r="I291" s="2" t="n"/>
    </row>
    <row r="292">
      <c r="I292" s="2" t="n"/>
    </row>
    <row r="293">
      <c r="I293" s="2" t="n"/>
    </row>
    <row r="294">
      <c r="I294" s="2" t="n"/>
    </row>
    <row r="295">
      <c r="I295" s="2" t="n"/>
    </row>
    <row r="296">
      <c r="I296" s="2" t="n"/>
    </row>
    <row r="297">
      <c r="I297" s="2" t="n"/>
    </row>
    <row r="298">
      <c r="I298" s="2" t="n"/>
    </row>
    <row r="299">
      <c r="I299" s="2" t="n"/>
    </row>
    <row r="300">
      <c r="I300" s="2" t="n"/>
    </row>
    <row r="301">
      <c r="I301" s="2" t="n"/>
    </row>
    <row r="302">
      <c r="I302" s="2" t="n"/>
    </row>
    <row r="303">
      <c r="I303" s="2" t="n"/>
    </row>
    <row r="304">
      <c r="I304" s="2" t="n"/>
    </row>
    <row r="305">
      <c r="I305" s="2" t="n"/>
    </row>
    <row r="306">
      <c r="I306" s="2" t="n"/>
    </row>
    <row r="307">
      <c r="I307" s="2" t="n"/>
    </row>
    <row r="308">
      <c r="I308" s="2" t="n"/>
    </row>
    <row r="309">
      <c r="I309" s="2" t="n"/>
    </row>
    <row r="310">
      <c r="I310" s="2" t="n"/>
    </row>
    <row r="311">
      <c r="I311" s="2" t="n"/>
    </row>
    <row r="312">
      <c r="I312" s="2" t="n"/>
    </row>
    <row r="313">
      <c r="I313" s="2" t="n"/>
    </row>
    <row r="314">
      <c r="I314" s="2" t="n"/>
    </row>
    <row r="315">
      <c r="I315" s="2" t="n"/>
    </row>
    <row r="316">
      <c r="I316" s="2" t="n"/>
    </row>
    <row r="317">
      <c r="I317" s="2" t="n"/>
    </row>
    <row r="318">
      <c r="I318" s="2" t="n"/>
    </row>
    <row r="319">
      <c r="I319" s="2" t="n"/>
    </row>
    <row r="320">
      <c r="I320" s="2" t="n"/>
    </row>
    <row r="321">
      <c r="I321" s="2" t="n"/>
    </row>
    <row r="322">
      <c r="I322" s="2" t="n"/>
    </row>
    <row r="323">
      <c r="I323" s="2" t="n"/>
    </row>
    <row r="324">
      <c r="I324" s="2" t="n"/>
    </row>
    <row r="325">
      <c r="I325" s="2" t="n"/>
    </row>
    <row r="326">
      <c r="I326" s="2" t="n"/>
    </row>
    <row r="327">
      <c r="I327" s="2" t="n"/>
    </row>
    <row r="328">
      <c r="I328" s="2" t="n"/>
    </row>
    <row r="329">
      <c r="I329" s="2" t="n"/>
    </row>
    <row r="330">
      <c r="I330" s="2" t="n"/>
    </row>
    <row r="331">
      <c r="I331" s="2" t="n"/>
    </row>
    <row r="332">
      <c r="I332" s="2" t="n"/>
    </row>
    <row r="333">
      <c r="I333" s="2" t="n"/>
    </row>
    <row r="334">
      <c r="I334" s="2" t="n"/>
    </row>
    <row r="335">
      <c r="I335" s="2" t="n"/>
    </row>
    <row r="336">
      <c r="I336" s="2" t="n"/>
    </row>
    <row r="337">
      <c r="I337" s="2" t="n"/>
    </row>
    <row r="338">
      <c r="I338" s="2" t="n"/>
    </row>
    <row r="339">
      <c r="I339" s="2" t="n"/>
    </row>
    <row r="340">
      <c r="I340" s="2" t="n"/>
    </row>
    <row r="341">
      <c r="I341" s="2" t="n"/>
    </row>
    <row r="342">
      <c r="I342" s="2" t="n"/>
    </row>
    <row r="343">
      <c r="I343" s="2" t="n"/>
    </row>
    <row r="344">
      <c r="I344" s="2" t="n"/>
    </row>
    <row r="345">
      <c r="I345" s="2" t="n"/>
    </row>
    <row r="346">
      <c r="I346" s="2" t="n"/>
    </row>
    <row r="347">
      <c r="I347" s="2" t="n"/>
    </row>
    <row r="348">
      <c r="I348" s="2" t="n"/>
    </row>
    <row r="349">
      <c r="I349" s="2" t="n"/>
    </row>
    <row r="350">
      <c r="I350" s="2" t="n"/>
    </row>
    <row r="351">
      <c r="I351" s="2" t="n"/>
    </row>
    <row r="352">
      <c r="I352" s="2" t="n"/>
    </row>
    <row r="353">
      <c r="I353" s="2" t="n"/>
    </row>
    <row r="354">
      <c r="I354" s="2" t="n"/>
    </row>
    <row r="355">
      <c r="I355" s="2" t="n"/>
    </row>
    <row r="356">
      <c r="I356" s="2" t="n"/>
    </row>
    <row r="357">
      <c r="I357" s="2" t="n"/>
    </row>
    <row r="358">
      <c r="I358" s="2" t="n"/>
    </row>
    <row r="359">
      <c r="I359" s="2" t="n"/>
    </row>
    <row r="360">
      <c r="I360" s="2" t="n"/>
    </row>
    <row r="361">
      <c r="I361" s="2" t="n"/>
    </row>
    <row r="362">
      <c r="I362" s="2" t="n"/>
    </row>
    <row r="363">
      <c r="I363" s="2" t="n"/>
    </row>
    <row r="364">
      <c r="I364" s="2" t="n"/>
    </row>
    <row r="365">
      <c r="I365" s="2" t="n"/>
    </row>
    <row r="366">
      <c r="I366" s="2" t="n"/>
    </row>
    <row r="367">
      <c r="I367" s="2" t="n"/>
    </row>
    <row r="368">
      <c r="I368" s="2" t="n"/>
    </row>
    <row r="369">
      <c r="I369" s="2" t="n"/>
    </row>
    <row r="370">
      <c r="I370" s="2" t="n"/>
    </row>
    <row r="371">
      <c r="I371" s="2" t="n"/>
    </row>
    <row r="372">
      <c r="I372" s="2" t="n"/>
    </row>
    <row r="373">
      <c r="I373" s="2" t="n"/>
    </row>
    <row r="374">
      <c r="I374" s="2" t="n"/>
    </row>
    <row r="375">
      <c r="I375" s="2" t="n"/>
    </row>
    <row r="376">
      <c r="I376" s="2" t="n"/>
    </row>
    <row r="377">
      <c r="I377" s="2" t="n"/>
    </row>
    <row r="378">
      <c r="I378" s="2" t="n"/>
    </row>
    <row r="379">
      <c r="I379" s="2" t="n"/>
    </row>
    <row r="380">
      <c r="I380" s="2" t="n"/>
    </row>
    <row r="381">
      <c r="I381" s="2" t="n"/>
    </row>
    <row r="382">
      <c r="I382" s="2" t="n"/>
    </row>
    <row r="383">
      <c r="I383" s="2" t="n"/>
    </row>
    <row r="384">
      <c r="I384" s="2" t="n"/>
    </row>
    <row r="385">
      <c r="I385" s="2" t="n"/>
    </row>
    <row r="386">
      <c r="I386" s="2" t="n"/>
    </row>
    <row r="387">
      <c r="I387" s="2" t="n"/>
    </row>
    <row r="388">
      <c r="I388" s="2" t="n"/>
    </row>
    <row r="389">
      <c r="I389" s="2" t="n"/>
    </row>
    <row r="390">
      <c r="I390" s="2" t="n"/>
    </row>
    <row r="391">
      <c r="I391" s="2" t="n"/>
    </row>
    <row r="392">
      <c r="I392" s="2" t="n"/>
    </row>
    <row r="393">
      <c r="I393" s="2" t="n"/>
    </row>
    <row r="394">
      <c r="I394" s="2" t="n"/>
    </row>
    <row r="395">
      <c r="I395" s="2" t="n"/>
    </row>
    <row r="396">
      <c r="I396" s="2" t="n"/>
    </row>
    <row r="397">
      <c r="I397" s="2" t="n"/>
    </row>
    <row r="398">
      <c r="I398" s="2" t="n"/>
    </row>
    <row r="399">
      <c r="I399" s="2" t="n"/>
    </row>
    <row r="400">
      <c r="I400" s="2" t="n"/>
    </row>
    <row r="401">
      <c r="I401" s="2" t="n"/>
    </row>
    <row r="402">
      <c r="I402" s="2" t="n"/>
    </row>
    <row r="403">
      <c r="I403" s="2" t="n"/>
    </row>
    <row r="404">
      <c r="I404" s="2" t="n"/>
    </row>
    <row r="405">
      <c r="I405" s="2" t="n"/>
    </row>
    <row r="406">
      <c r="I406" s="2" t="n"/>
    </row>
    <row r="407">
      <c r="I407" s="2" t="n"/>
    </row>
    <row r="408">
      <c r="I408" s="2" t="n"/>
    </row>
    <row r="409">
      <c r="I409" s="2" t="n"/>
    </row>
    <row r="410">
      <c r="I410" s="2" t="n"/>
    </row>
    <row r="411">
      <c r="I411" s="2" t="n"/>
    </row>
    <row r="412">
      <c r="I412" s="2" t="n"/>
    </row>
    <row r="413">
      <c r="I413" s="2" t="n"/>
    </row>
    <row r="414">
      <c r="I414" s="2" t="n"/>
    </row>
    <row r="415">
      <c r="I415" s="2" t="n"/>
    </row>
    <row r="416">
      <c r="I416" s="2" t="n"/>
    </row>
    <row r="417">
      <c r="I417" s="2" t="n"/>
    </row>
    <row r="418">
      <c r="I418" s="2" t="n"/>
    </row>
    <row r="419">
      <c r="I419" s="2" t="n"/>
    </row>
    <row r="420">
      <c r="I420" s="2" t="n"/>
    </row>
    <row r="421">
      <c r="I421" s="2" t="n"/>
    </row>
    <row r="422">
      <c r="I422" s="2" t="n"/>
    </row>
    <row r="423">
      <c r="I423" s="2" t="n"/>
    </row>
    <row r="424">
      <c r="I424" s="2" t="n"/>
    </row>
    <row r="425">
      <c r="I425" s="2" t="n"/>
    </row>
    <row r="426">
      <c r="I426" s="2" t="n"/>
    </row>
    <row r="427">
      <c r="I427" s="2" t="n"/>
    </row>
    <row r="428">
      <c r="I428" s="2" t="n"/>
    </row>
    <row r="429">
      <c r="I429" s="2" t="n"/>
    </row>
    <row r="430">
      <c r="I430" s="2" t="n"/>
    </row>
    <row r="431">
      <c r="I431" s="2" t="n"/>
    </row>
    <row r="432">
      <c r="I432" s="2" t="n"/>
    </row>
    <row r="433">
      <c r="I433" s="2" t="n"/>
    </row>
    <row r="434">
      <c r="I434" s="2" t="n"/>
    </row>
    <row r="435">
      <c r="I435" s="2" t="n"/>
    </row>
    <row r="436">
      <c r="I436" s="2" t="n"/>
    </row>
    <row r="437">
      <c r="I437" s="2" t="n"/>
    </row>
    <row r="438">
      <c r="I438" s="2" t="n"/>
    </row>
    <row r="439">
      <c r="I439" s="2" t="n"/>
    </row>
    <row r="440">
      <c r="I440" s="2" t="n"/>
    </row>
    <row r="441">
      <c r="I441" s="2" t="n"/>
    </row>
    <row r="442">
      <c r="I442" s="2" t="n"/>
    </row>
    <row r="443">
      <c r="I443" s="2" t="n"/>
    </row>
    <row r="444">
      <c r="I444" s="2" t="n"/>
    </row>
    <row r="445">
      <c r="I445" s="2" t="n"/>
    </row>
    <row r="446">
      <c r="I446" s="2" t="n"/>
    </row>
    <row r="447">
      <c r="I447" s="2" t="n"/>
    </row>
    <row r="448">
      <c r="I448" s="2" t="n"/>
    </row>
    <row r="449">
      <c r="I449" s="2" t="n"/>
    </row>
    <row r="450">
      <c r="I450" s="2" t="n"/>
    </row>
    <row r="451">
      <c r="I451" s="2" t="n"/>
    </row>
    <row r="452">
      <c r="I452" s="2" t="n"/>
    </row>
    <row r="453">
      <c r="I453" s="2" t="n"/>
    </row>
    <row r="454">
      <c r="I454" s="2" t="n"/>
    </row>
    <row r="455">
      <c r="I455" s="2" t="n"/>
    </row>
    <row r="456">
      <c r="I456" s="2" t="n"/>
    </row>
    <row r="457">
      <c r="I457" s="2" t="n"/>
    </row>
    <row r="458">
      <c r="I458" s="2" t="n"/>
    </row>
    <row r="459">
      <c r="I459" s="2" t="n"/>
    </row>
    <row r="460">
      <c r="I460" s="2" t="n"/>
    </row>
    <row r="461">
      <c r="I461" s="2" t="n"/>
    </row>
    <row r="462">
      <c r="I462" s="2" t="n"/>
    </row>
    <row r="463">
      <c r="I463" s="2" t="n"/>
    </row>
    <row r="464">
      <c r="I464" s="2" t="n"/>
    </row>
    <row r="465">
      <c r="I465" s="2" t="n"/>
    </row>
    <row r="466">
      <c r="I466" s="2" t="n"/>
    </row>
    <row r="467">
      <c r="I467" s="2" t="n"/>
    </row>
    <row r="468">
      <c r="I468" s="2" t="n"/>
    </row>
    <row r="469">
      <c r="I469" s="2" t="n"/>
    </row>
    <row r="470">
      <c r="I470" s="2" t="n"/>
    </row>
    <row r="471">
      <c r="I471" s="2" t="n"/>
    </row>
    <row r="472">
      <c r="I472" s="2" t="n"/>
    </row>
    <row r="473">
      <c r="I473" s="2" t="n"/>
    </row>
    <row r="474">
      <c r="I474" s="2" t="n"/>
    </row>
    <row r="475">
      <c r="I475" s="2" t="n"/>
    </row>
    <row r="476">
      <c r="I476" s="2" t="n"/>
    </row>
    <row r="477">
      <c r="I477" s="2" t="n"/>
    </row>
    <row r="478">
      <c r="I478" s="2" t="n"/>
    </row>
    <row r="479">
      <c r="I479" s="2" t="n"/>
    </row>
    <row r="480">
      <c r="I480" s="2" t="n"/>
    </row>
    <row r="481">
      <c r="I481" s="2" t="n"/>
    </row>
    <row r="482">
      <c r="I482" s="2" t="n"/>
    </row>
    <row r="483">
      <c r="I483" s="2" t="n"/>
    </row>
    <row r="484">
      <c r="I484" s="2" t="n"/>
    </row>
    <row r="485">
      <c r="I485" s="2" t="n"/>
    </row>
    <row r="486">
      <c r="I486" s="2" t="n"/>
    </row>
    <row r="487">
      <c r="I487" s="2" t="n"/>
    </row>
    <row r="488">
      <c r="I488" s="2" t="n"/>
    </row>
    <row r="489">
      <c r="I489" s="2" t="n"/>
    </row>
    <row r="490">
      <c r="I490" s="2" t="n"/>
    </row>
    <row r="491">
      <c r="I491" s="2" t="n"/>
    </row>
    <row r="492">
      <c r="I492" s="2" t="n"/>
    </row>
    <row r="493">
      <c r="I493" s="2" t="n"/>
    </row>
    <row r="494">
      <c r="I494" s="2" t="n"/>
    </row>
    <row r="495">
      <c r="I495" s="2" t="n"/>
    </row>
    <row r="496">
      <c r="I496" s="2" t="n"/>
    </row>
    <row r="497">
      <c r="I497" s="2" t="n"/>
    </row>
    <row r="498">
      <c r="I498" s="2" t="n"/>
    </row>
    <row r="499">
      <c r="I499" s="2" t="n"/>
    </row>
    <row r="500">
      <c r="I500" s="2" t="n"/>
    </row>
    <row r="501">
      <c r="I501" s="2" t="n"/>
    </row>
    <row r="502">
      <c r="I502" s="2" t="n"/>
    </row>
    <row r="503">
      <c r="I503" s="2" t="n"/>
    </row>
    <row r="504">
      <c r="I504" s="2" t="n"/>
    </row>
    <row r="505">
      <c r="I505" s="2" t="n"/>
    </row>
    <row r="506">
      <c r="I506" s="2" t="n"/>
    </row>
    <row r="507">
      <c r="I507" s="2" t="n"/>
    </row>
    <row r="508">
      <c r="I508" s="2" t="n"/>
    </row>
    <row r="509">
      <c r="I509" s="2" t="n"/>
    </row>
    <row r="510">
      <c r="I510" s="2" t="n"/>
    </row>
    <row r="511">
      <c r="I511" s="2" t="n"/>
    </row>
    <row r="512">
      <c r="I512" s="2" t="n"/>
    </row>
    <row r="513">
      <c r="I513" s="2" t="n"/>
    </row>
    <row r="514">
      <c r="I514" s="2" t="n"/>
    </row>
    <row r="515">
      <c r="I515" s="2" t="n"/>
    </row>
    <row r="516">
      <c r="I516" s="2" t="n"/>
    </row>
    <row r="517">
      <c r="I517" s="2" t="n"/>
    </row>
    <row r="518">
      <c r="I518" s="2" t="n"/>
    </row>
    <row r="519">
      <c r="I519" s="2" t="n"/>
    </row>
    <row r="520">
      <c r="I520" s="2" t="n"/>
    </row>
    <row r="521">
      <c r="I521" s="2" t="n"/>
    </row>
    <row r="522">
      <c r="I522" s="2" t="n"/>
    </row>
    <row r="523">
      <c r="I523" s="2" t="n"/>
    </row>
    <row r="524">
      <c r="I524" s="2" t="n"/>
    </row>
    <row r="525">
      <c r="I525" s="2" t="n"/>
    </row>
    <row r="526">
      <c r="I526" s="2" t="n"/>
    </row>
    <row r="527">
      <c r="I527" s="2" t="n"/>
    </row>
    <row r="528">
      <c r="I528" s="2" t="n"/>
    </row>
    <row r="529">
      <c r="I529" s="2" t="n"/>
    </row>
    <row r="530">
      <c r="I530" s="2" t="n"/>
    </row>
    <row r="531">
      <c r="I531" s="2" t="n"/>
    </row>
    <row r="532">
      <c r="I532" s="2" t="n"/>
    </row>
    <row r="533">
      <c r="I533" s="2" t="n"/>
    </row>
    <row r="534">
      <c r="I534" s="2" t="n"/>
    </row>
    <row r="535">
      <c r="I535" s="2" t="n"/>
    </row>
    <row r="536">
      <c r="I536" s="2" t="n"/>
    </row>
    <row r="537">
      <c r="I537" s="2" t="n"/>
    </row>
    <row r="538">
      <c r="I538" s="2" t="n"/>
    </row>
    <row r="539">
      <c r="I539" s="2" t="n"/>
    </row>
    <row r="540">
      <c r="I540" s="2" t="n"/>
    </row>
    <row r="541">
      <c r="I541" s="2" t="n"/>
    </row>
    <row r="542">
      <c r="I542" s="2" t="n"/>
    </row>
    <row r="543">
      <c r="I543" s="2" t="n"/>
    </row>
    <row r="544">
      <c r="I544" s="2" t="n"/>
    </row>
    <row r="545">
      <c r="I545" s="2" t="n"/>
    </row>
    <row r="546">
      <c r="I546" s="2" t="n"/>
    </row>
    <row r="547">
      <c r="I547" s="2" t="n"/>
    </row>
    <row r="548">
      <c r="I548" s="2" t="n"/>
    </row>
    <row r="549">
      <c r="I549" s="2" t="n"/>
    </row>
    <row r="550">
      <c r="I550" s="2" t="n"/>
    </row>
    <row r="551">
      <c r="I551" s="2" t="n"/>
    </row>
    <row r="552">
      <c r="I552" s="2" t="n"/>
    </row>
    <row r="553">
      <c r="I553" s="2" t="n"/>
    </row>
    <row r="554">
      <c r="I554" s="2" t="n"/>
    </row>
    <row r="555">
      <c r="I555" s="2" t="n"/>
    </row>
    <row r="556">
      <c r="I556" s="2" t="n"/>
    </row>
    <row r="557">
      <c r="I557" s="2" t="n"/>
    </row>
    <row r="558">
      <c r="I558" s="2" t="n"/>
    </row>
    <row r="559">
      <c r="I559" s="2" t="n"/>
    </row>
    <row r="560">
      <c r="I560" s="2" t="n"/>
    </row>
    <row r="561">
      <c r="I561" s="2" t="n"/>
    </row>
    <row r="562">
      <c r="I562" s="2" t="n"/>
    </row>
    <row r="563">
      <c r="I563" s="2" t="n"/>
    </row>
    <row r="564">
      <c r="I564" s="2" t="n"/>
    </row>
    <row r="565">
      <c r="I565" s="2" t="n"/>
    </row>
    <row r="566">
      <c r="I566" s="2" t="n"/>
    </row>
    <row r="567">
      <c r="I567" s="2" t="n"/>
    </row>
    <row r="568">
      <c r="I568" s="2" t="n"/>
    </row>
    <row r="569">
      <c r="I569" s="2" t="n"/>
    </row>
    <row r="570">
      <c r="I570" s="2" t="n"/>
    </row>
    <row r="571">
      <c r="I571" s="2" t="n"/>
    </row>
    <row r="572">
      <c r="I572" s="2" t="n"/>
    </row>
    <row r="573">
      <c r="I573" s="2" t="n"/>
    </row>
    <row r="574">
      <c r="I574" s="2" t="n"/>
    </row>
    <row r="575">
      <c r="I575" s="2" t="n"/>
    </row>
    <row r="576">
      <c r="I576" s="2" t="n"/>
    </row>
    <row r="577">
      <c r="I577" s="2" t="n"/>
    </row>
    <row r="578">
      <c r="I578" s="2" t="n"/>
    </row>
    <row r="579">
      <c r="I579" s="2" t="n"/>
    </row>
    <row r="580">
      <c r="I580" s="2" t="n"/>
    </row>
    <row r="581">
      <c r="I581" s="2" t="n"/>
    </row>
    <row r="582">
      <c r="I582" s="2" t="n"/>
    </row>
    <row r="583">
      <c r="I583" s="2" t="n"/>
    </row>
    <row r="584">
      <c r="I584" s="2" t="n"/>
    </row>
    <row r="585">
      <c r="I585" s="2" t="n"/>
    </row>
    <row r="586">
      <c r="I586" s="2" t="n"/>
    </row>
    <row r="587">
      <c r="I587" s="2" t="n"/>
    </row>
    <row r="588">
      <c r="I588" s="2" t="n"/>
    </row>
    <row r="589">
      <c r="I589" s="2" t="n"/>
    </row>
    <row r="590">
      <c r="I590" s="2" t="n"/>
    </row>
    <row r="591">
      <c r="I591" s="2" t="n"/>
    </row>
    <row r="592">
      <c r="I592" s="2" t="n"/>
    </row>
    <row r="593">
      <c r="I593" s="2" t="n"/>
    </row>
    <row r="594">
      <c r="I594" s="2" t="n"/>
    </row>
    <row r="595">
      <c r="I595" s="2" t="n"/>
    </row>
    <row r="596">
      <c r="I596" s="2" t="n"/>
    </row>
    <row r="597">
      <c r="I597" s="2" t="n"/>
    </row>
    <row r="598">
      <c r="I598" s="2" t="n"/>
    </row>
    <row r="599">
      <c r="I599" s="2" t="n"/>
    </row>
    <row r="600">
      <c r="I600" s="2" t="n"/>
    </row>
    <row r="601">
      <c r="I601" s="2" t="n"/>
    </row>
    <row r="602">
      <c r="I602" s="2" t="n"/>
    </row>
    <row r="603">
      <c r="I603" s="2" t="n"/>
    </row>
    <row r="604">
      <c r="I604" s="2" t="n"/>
    </row>
    <row r="605">
      <c r="I605" s="2" t="n"/>
    </row>
    <row r="606">
      <c r="I606" s="2" t="n"/>
    </row>
    <row r="607">
      <c r="I607" s="2" t="n"/>
    </row>
    <row r="608">
      <c r="I608" s="2" t="n"/>
    </row>
    <row r="609">
      <c r="I609" s="2" t="n"/>
    </row>
    <row r="610">
      <c r="I610" s="2" t="n"/>
    </row>
    <row r="611">
      <c r="I611" s="2" t="n"/>
    </row>
    <row r="612">
      <c r="I612" s="2" t="n"/>
    </row>
    <row r="613">
      <c r="I613" s="2" t="n"/>
    </row>
    <row r="614">
      <c r="I614" s="2" t="n"/>
    </row>
    <row r="615">
      <c r="I615" s="2" t="n"/>
    </row>
    <row r="616">
      <c r="I616" s="2" t="n"/>
    </row>
    <row r="617">
      <c r="I617" s="2" t="n"/>
    </row>
    <row r="618">
      <c r="I618" s="2" t="n"/>
    </row>
    <row r="619">
      <c r="I619" s="2" t="n"/>
    </row>
    <row r="620">
      <c r="I620" s="2" t="n"/>
    </row>
    <row r="621">
      <c r="I621" s="2" t="n"/>
    </row>
    <row r="622">
      <c r="I622" s="2" t="n"/>
    </row>
    <row r="623">
      <c r="I623" s="2" t="n"/>
    </row>
    <row r="624">
      <c r="I624" s="2" t="n"/>
    </row>
    <row r="625">
      <c r="I625" s="2" t="n"/>
    </row>
    <row r="626">
      <c r="I626" s="2" t="n"/>
    </row>
    <row r="627">
      <c r="I627" s="2" t="n"/>
    </row>
    <row r="628">
      <c r="I628" s="2" t="n"/>
    </row>
    <row r="629">
      <c r="I629" s="2" t="n"/>
    </row>
    <row r="630">
      <c r="I630" s="2" t="n"/>
    </row>
    <row r="631">
      <c r="I631" s="2" t="n"/>
    </row>
    <row r="632">
      <c r="I632" s="2" t="n"/>
    </row>
    <row r="633">
      <c r="I633" s="2" t="n"/>
    </row>
    <row r="634">
      <c r="I634" s="2" t="n"/>
    </row>
    <row r="635">
      <c r="I635" s="2" t="n"/>
    </row>
    <row r="636">
      <c r="I636" s="2" t="n"/>
    </row>
    <row r="637">
      <c r="I637" s="2" t="n"/>
    </row>
    <row r="638">
      <c r="I638" s="2" t="n"/>
    </row>
    <row r="639">
      <c r="I639" s="2" t="n"/>
    </row>
    <row r="640">
      <c r="I640" s="2" t="n"/>
    </row>
    <row r="641">
      <c r="I641" s="2" t="n"/>
    </row>
    <row r="642">
      <c r="I642" s="2" t="n"/>
    </row>
    <row r="643">
      <c r="I643" s="2" t="n"/>
    </row>
    <row r="644">
      <c r="I644" s="2" t="n"/>
    </row>
    <row r="645">
      <c r="I645" s="2" t="n"/>
    </row>
    <row r="646">
      <c r="I646" s="2" t="n"/>
    </row>
    <row r="647">
      <c r="I647" s="2" t="n"/>
    </row>
    <row r="648">
      <c r="I648" s="2" t="n"/>
    </row>
    <row r="649">
      <c r="I649" s="2" t="n"/>
    </row>
    <row r="650">
      <c r="I650" s="2" t="n"/>
    </row>
    <row r="651">
      <c r="I651" s="2" t="n"/>
    </row>
    <row r="652">
      <c r="I652" s="2" t="n"/>
    </row>
    <row r="653">
      <c r="I653" s="2" t="n"/>
    </row>
    <row r="654">
      <c r="I654" s="2" t="n"/>
    </row>
    <row r="655">
      <c r="I655" s="2" t="n"/>
    </row>
    <row r="656">
      <c r="I656" s="2" t="n"/>
    </row>
    <row r="657">
      <c r="I657" s="2" t="n"/>
    </row>
    <row r="658">
      <c r="I658" s="2" t="n"/>
    </row>
    <row r="659">
      <c r="I659" s="2" t="n"/>
    </row>
    <row r="660">
      <c r="I660" s="2" t="n"/>
    </row>
    <row r="661">
      <c r="I661" s="2" t="n"/>
    </row>
    <row r="662">
      <c r="I662" s="2" t="n"/>
    </row>
    <row r="663">
      <c r="I663" s="2" t="n"/>
    </row>
    <row r="664">
      <c r="I664" s="2" t="n"/>
    </row>
    <row r="665">
      <c r="I665" s="2" t="n"/>
    </row>
    <row r="666">
      <c r="I666" s="2" t="n"/>
    </row>
    <row r="667">
      <c r="I667" s="2" t="n"/>
    </row>
    <row r="668">
      <c r="I668" s="2" t="n"/>
    </row>
    <row r="669">
      <c r="I669" s="2" t="n"/>
    </row>
    <row r="670">
      <c r="I670" s="2" t="n"/>
    </row>
    <row r="671">
      <c r="I671" s="2" t="n"/>
    </row>
    <row r="672">
      <c r="I672" s="2" t="n"/>
    </row>
    <row r="673">
      <c r="I673" s="2" t="n"/>
    </row>
    <row r="674">
      <c r="I674" s="2" t="n"/>
    </row>
    <row r="675">
      <c r="I675" s="2" t="n"/>
    </row>
    <row r="676">
      <c r="I676" s="2" t="n"/>
    </row>
    <row r="677">
      <c r="I677" s="2" t="n"/>
    </row>
    <row r="678">
      <c r="I678" s="2" t="n"/>
    </row>
    <row r="679">
      <c r="I679" s="2" t="n"/>
    </row>
    <row r="680">
      <c r="I680" s="2" t="n"/>
    </row>
    <row r="681">
      <c r="I681" s="2" t="n"/>
    </row>
    <row r="682">
      <c r="I682" s="2" t="n"/>
    </row>
    <row r="683">
      <c r="I683" s="2" t="n"/>
    </row>
    <row r="684">
      <c r="I684" s="2" t="n"/>
    </row>
    <row r="685">
      <c r="I685" s="2" t="n"/>
    </row>
    <row r="686">
      <c r="I686" s="2" t="n"/>
    </row>
    <row r="687">
      <c r="I687" s="2" t="n"/>
    </row>
    <row r="688">
      <c r="I688" s="2" t="n"/>
    </row>
    <row r="689">
      <c r="I689" s="2" t="n"/>
    </row>
    <row r="690">
      <c r="I690" s="2" t="n"/>
    </row>
    <row r="691">
      <c r="I691" s="2" t="n"/>
    </row>
    <row r="692">
      <c r="I692" s="2" t="n"/>
    </row>
    <row r="693">
      <c r="I693" s="2" t="n"/>
    </row>
    <row r="694">
      <c r="I694" s="2" t="n"/>
    </row>
    <row r="695">
      <c r="I695" s="2" t="n"/>
    </row>
    <row r="696">
      <c r="I696" s="2" t="n"/>
    </row>
    <row r="697">
      <c r="I697" s="2" t="n"/>
    </row>
    <row r="698">
      <c r="I698" s="2" t="n"/>
    </row>
    <row r="699">
      <c r="I699" s="2" t="n"/>
    </row>
    <row r="700">
      <c r="I700" s="2" t="n"/>
    </row>
    <row r="701">
      <c r="I701" s="2" t="n"/>
    </row>
    <row r="702">
      <c r="I702" s="2" t="n"/>
    </row>
    <row r="703">
      <c r="I703" s="2" t="n"/>
    </row>
    <row r="704">
      <c r="I704" s="2" t="n"/>
    </row>
    <row r="705">
      <c r="I705" s="2" t="n"/>
    </row>
    <row r="706">
      <c r="I706" s="2" t="n"/>
    </row>
    <row r="707">
      <c r="I707" s="2" t="n"/>
    </row>
    <row r="708">
      <c r="I708" s="2" t="n"/>
    </row>
    <row r="709">
      <c r="I709" s="2" t="n"/>
    </row>
    <row r="710">
      <c r="I710" s="2" t="n"/>
    </row>
    <row r="711">
      <c r="I711" s="2" t="n"/>
    </row>
    <row r="712">
      <c r="I712" s="2" t="n"/>
    </row>
    <row r="713">
      <c r="I713" s="2" t="n"/>
    </row>
    <row r="714">
      <c r="I714" s="2" t="n"/>
    </row>
    <row r="715">
      <c r="I715" s="2" t="n"/>
    </row>
    <row r="716">
      <c r="I716" s="2" t="n"/>
    </row>
    <row r="717">
      <c r="I717" s="2" t="n"/>
    </row>
    <row r="718">
      <c r="I718" s="2" t="n"/>
    </row>
    <row r="719">
      <c r="I719" s="2" t="n"/>
    </row>
    <row r="720">
      <c r="I720" s="2" t="n"/>
    </row>
    <row r="721">
      <c r="I721" s="2" t="n"/>
    </row>
    <row r="722">
      <c r="I722" s="2" t="n"/>
    </row>
    <row r="723">
      <c r="I723" s="2" t="n"/>
    </row>
    <row r="724">
      <c r="I724" s="2" t="n"/>
    </row>
    <row r="725">
      <c r="I725" s="2" t="n"/>
    </row>
    <row r="726">
      <c r="I726" s="2" t="n"/>
    </row>
    <row r="727">
      <c r="I727" s="2" t="n"/>
    </row>
    <row r="728">
      <c r="I728" s="2" t="n"/>
    </row>
    <row r="729">
      <c r="I729" s="2" t="n"/>
    </row>
    <row r="730">
      <c r="I730" s="2" t="n"/>
    </row>
    <row r="731">
      <c r="I731" s="2" t="n"/>
    </row>
    <row r="732">
      <c r="I732" s="2" t="n"/>
    </row>
    <row r="733">
      <c r="I733" s="2" t="n"/>
    </row>
    <row r="734">
      <c r="I734" s="2" t="n"/>
    </row>
    <row r="735">
      <c r="I735" s="2" t="n"/>
    </row>
    <row r="736">
      <c r="I736" s="2" t="n"/>
    </row>
    <row r="737">
      <c r="I737" s="2" t="n"/>
    </row>
    <row r="738">
      <c r="I738" s="2" t="n"/>
    </row>
    <row r="739">
      <c r="I739" s="2" t="n"/>
    </row>
    <row r="740">
      <c r="I740" s="2" t="n"/>
    </row>
    <row r="741">
      <c r="I741" s="2" t="n"/>
    </row>
    <row r="742">
      <c r="I742" s="2" t="n"/>
    </row>
    <row r="743">
      <c r="I743" s="2" t="n"/>
    </row>
    <row r="744">
      <c r="I744" s="2" t="n"/>
    </row>
    <row r="745">
      <c r="I745" s="2" t="n"/>
    </row>
    <row r="746">
      <c r="I746" s="2" t="n"/>
    </row>
    <row r="747">
      <c r="I747" s="2" t="n"/>
    </row>
    <row r="748">
      <c r="I748" s="2" t="n"/>
    </row>
    <row r="749">
      <c r="I749" s="2" t="n"/>
    </row>
    <row r="750">
      <c r="I750" s="2" t="n"/>
    </row>
    <row r="751">
      <c r="I751" s="2" t="n"/>
    </row>
    <row r="752">
      <c r="I752" s="2" t="n"/>
    </row>
    <row r="753">
      <c r="I753" s="2" t="n"/>
    </row>
    <row r="754">
      <c r="I754" s="2" t="n"/>
    </row>
    <row r="755">
      <c r="I755" s="2" t="n"/>
    </row>
    <row r="756">
      <c r="I756" s="2" t="n"/>
    </row>
    <row r="757">
      <c r="I757" s="2" t="n"/>
    </row>
    <row r="758">
      <c r="I758" s="2" t="n"/>
    </row>
    <row r="759">
      <c r="I759" s="2" t="n"/>
    </row>
    <row r="760">
      <c r="I760" s="2" t="n"/>
    </row>
    <row r="761">
      <c r="I761" s="2" t="n"/>
    </row>
    <row r="762">
      <c r="I762" s="2" t="n"/>
    </row>
    <row r="763">
      <c r="I763" s="2" t="n"/>
    </row>
    <row r="764">
      <c r="I764" s="2" t="n"/>
    </row>
    <row r="765">
      <c r="I765" s="2" t="n"/>
    </row>
    <row r="766">
      <c r="I766" s="2" t="n"/>
    </row>
    <row r="767">
      <c r="I767" s="2" t="n"/>
    </row>
    <row r="768">
      <c r="I768" s="2" t="n"/>
    </row>
    <row r="769">
      <c r="I769" s="2" t="n"/>
    </row>
    <row r="770">
      <c r="I770" s="2" t="n"/>
    </row>
    <row r="771">
      <c r="I771" s="2" t="n"/>
    </row>
    <row r="772">
      <c r="I772" s="2" t="n"/>
    </row>
    <row r="773">
      <c r="I773" s="2" t="n"/>
    </row>
    <row r="774">
      <c r="I774" s="2" t="n"/>
    </row>
    <row r="775">
      <c r="I775" s="2" t="n"/>
    </row>
    <row r="776">
      <c r="I776" s="2" t="n"/>
    </row>
    <row r="777">
      <c r="I777" s="2" t="n"/>
    </row>
    <row r="778">
      <c r="I778" s="2" t="n"/>
    </row>
    <row r="779">
      <c r="I779" s="2" t="n"/>
    </row>
    <row r="780">
      <c r="I780" s="2" t="n"/>
    </row>
    <row r="781">
      <c r="I781" s="2" t="n"/>
    </row>
    <row r="782">
      <c r="I782" s="2" t="n"/>
    </row>
    <row r="783">
      <c r="I783" s="2" t="n"/>
    </row>
    <row r="784">
      <c r="I784" s="2" t="n"/>
    </row>
    <row r="785">
      <c r="I785" s="2" t="n"/>
    </row>
    <row r="786">
      <c r="I786" s="2" t="n"/>
    </row>
    <row r="787">
      <c r="I787" s="2" t="n"/>
    </row>
    <row r="788">
      <c r="I788" s="2" t="n"/>
    </row>
    <row r="789">
      <c r="I789" s="2" t="n"/>
    </row>
    <row r="790">
      <c r="I790" s="2" t="n"/>
    </row>
    <row r="791">
      <c r="I791" s="2" t="n"/>
    </row>
    <row r="792">
      <c r="I792" s="2" t="n"/>
    </row>
    <row r="793">
      <c r="I793" s="2" t="n"/>
    </row>
    <row r="794">
      <c r="I794" s="2" t="n"/>
    </row>
    <row r="795">
      <c r="I795" s="2" t="n"/>
    </row>
    <row r="796">
      <c r="I796" s="2" t="n"/>
    </row>
    <row r="797">
      <c r="I797" s="2" t="n"/>
    </row>
    <row r="798">
      <c r="I798" s="2" t="n"/>
    </row>
    <row r="799">
      <c r="I799" s="2" t="n"/>
    </row>
    <row r="800">
      <c r="I800" s="2" t="n"/>
    </row>
    <row r="801">
      <c r="I801" s="2" t="n"/>
    </row>
    <row r="802">
      <c r="I802" s="2" t="n"/>
    </row>
    <row r="803">
      <c r="I803" s="2" t="n"/>
    </row>
    <row r="804">
      <c r="I804" s="2" t="n"/>
    </row>
    <row r="805">
      <c r="I805" s="2" t="n"/>
    </row>
    <row r="806">
      <c r="I806" s="2" t="n"/>
    </row>
    <row r="807">
      <c r="I807" s="2" t="n"/>
    </row>
    <row r="808">
      <c r="I808" s="2" t="n"/>
    </row>
    <row r="809">
      <c r="I809" s="2" t="n"/>
    </row>
    <row r="810">
      <c r="I810" s="2" t="n"/>
    </row>
    <row r="811">
      <c r="I811" s="2" t="n"/>
    </row>
    <row r="812">
      <c r="I812" s="2" t="n"/>
    </row>
    <row r="813">
      <c r="I813" s="2" t="n"/>
    </row>
    <row r="814">
      <c r="I814" s="2" t="n"/>
    </row>
    <row r="815">
      <c r="I815" s="2" t="n"/>
    </row>
    <row r="816">
      <c r="I816" s="2" t="n"/>
    </row>
    <row r="817">
      <c r="I817" s="2" t="n"/>
    </row>
    <row r="818">
      <c r="I818" s="2" t="n"/>
    </row>
    <row r="819">
      <c r="I819" s="2" t="n"/>
    </row>
    <row r="820">
      <c r="I820" s="2" t="n"/>
    </row>
    <row r="821">
      <c r="I821" s="2" t="n"/>
    </row>
    <row r="822">
      <c r="I822" s="2" t="n"/>
    </row>
    <row r="823">
      <c r="I823" s="2" t="n"/>
    </row>
    <row r="824">
      <c r="I824" s="2" t="n"/>
    </row>
    <row r="825">
      <c r="I825" s="2" t="n"/>
    </row>
    <row r="826">
      <c r="I826" s="2" t="n"/>
    </row>
    <row r="827">
      <c r="I827" s="2" t="n"/>
    </row>
    <row r="828">
      <c r="I828" s="2" t="n"/>
    </row>
    <row r="829">
      <c r="I829" s="2" t="n"/>
    </row>
    <row r="830">
      <c r="I830" s="2" t="n"/>
    </row>
    <row r="831">
      <c r="I831" s="2" t="n"/>
    </row>
    <row r="832">
      <c r="I832" s="2" t="n"/>
    </row>
    <row r="833">
      <c r="I833" s="2" t="n"/>
    </row>
    <row r="834">
      <c r="I834" s="2" t="n"/>
    </row>
    <row r="835">
      <c r="I835" s="2" t="n"/>
    </row>
    <row r="836">
      <c r="I836" s="2" t="n"/>
    </row>
    <row r="837">
      <c r="I837" s="2" t="n"/>
    </row>
    <row r="838">
      <c r="I838" s="2" t="n"/>
    </row>
    <row r="839">
      <c r="I839" s="2" t="n"/>
    </row>
    <row r="840">
      <c r="I840" s="2" t="n"/>
    </row>
    <row r="841">
      <c r="I841" s="2" t="n"/>
    </row>
    <row r="842">
      <c r="I842" s="2" t="n"/>
    </row>
    <row r="843">
      <c r="I843" s="2" t="n"/>
    </row>
    <row r="844">
      <c r="I844" s="2" t="n"/>
    </row>
    <row r="845">
      <c r="I845" s="2" t="n"/>
    </row>
    <row r="846">
      <c r="I846" s="2" t="n"/>
    </row>
    <row r="847">
      <c r="I847" s="2" t="n"/>
    </row>
    <row r="848">
      <c r="I848" s="2" t="n"/>
    </row>
    <row r="849">
      <c r="I849" s="2" t="n"/>
    </row>
    <row r="850">
      <c r="I850" s="2" t="n"/>
    </row>
    <row r="851">
      <c r="I851" s="2" t="n"/>
    </row>
    <row r="852">
      <c r="I852" s="2" t="n"/>
    </row>
    <row r="853">
      <c r="I853" s="2" t="n"/>
    </row>
    <row r="854">
      <c r="I854" s="2" t="n"/>
    </row>
    <row r="855">
      <c r="I855" s="2" t="n"/>
    </row>
    <row r="856">
      <c r="I856" s="2" t="n"/>
    </row>
    <row r="857">
      <c r="I857" s="2" t="n"/>
    </row>
    <row r="858">
      <c r="I858" s="2" t="n"/>
    </row>
    <row r="859">
      <c r="I859" s="2" t="n"/>
    </row>
    <row r="860">
      <c r="I860" s="2" t="n"/>
    </row>
    <row r="861">
      <c r="I861" s="2" t="n"/>
    </row>
    <row r="862">
      <c r="I862" s="2" t="n"/>
    </row>
    <row r="863">
      <c r="I863" s="2" t="n"/>
    </row>
    <row r="864">
      <c r="I864" s="2" t="n"/>
    </row>
    <row r="865">
      <c r="I865" s="2" t="n"/>
    </row>
    <row r="866">
      <c r="I866" s="2" t="n"/>
    </row>
    <row r="867">
      <c r="I867" s="2" t="n"/>
    </row>
    <row r="868">
      <c r="I868" s="2" t="n"/>
    </row>
    <row r="869">
      <c r="I869" s="2" t="n"/>
    </row>
    <row r="870">
      <c r="I870" s="2" t="n"/>
    </row>
    <row r="871">
      <c r="I871" s="2" t="n"/>
    </row>
    <row r="872">
      <c r="I872" s="2" t="n"/>
    </row>
    <row r="873">
      <c r="I873" s="2" t="n"/>
    </row>
    <row r="874">
      <c r="I874" s="2" t="n"/>
    </row>
    <row r="875">
      <c r="I875" s="2" t="n"/>
    </row>
    <row r="876">
      <c r="I876" s="2" t="n"/>
    </row>
    <row r="877">
      <c r="I877" s="2" t="n"/>
    </row>
    <row r="878">
      <c r="I878" s="2" t="n"/>
    </row>
    <row r="879">
      <c r="I879" s="2" t="n"/>
    </row>
    <row r="880">
      <c r="I880" s="2" t="n"/>
    </row>
    <row r="881">
      <c r="I881" s="2" t="n"/>
    </row>
    <row r="882">
      <c r="I882" s="2" t="n"/>
    </row>
    <row r="883">
      <c r="I883" s="2" t="n"/>
    </row>
    <row r="884">
      <c r="I884" s="2" t="n"/>
    </row>
    <row r="885">
      <c r="I885" s="2" t="n"/>
    </row>
    <row r="886">
      <c r="I886" s="2" t="n"/>
    </row>
    <row r="887">
      <c r="I887" s="2" t="n"/>
    </row>
    <row r="888">
      <c r="I888" s="2" t="n"/>
    </row>
    <row r="889">
      <c r="I889" s="2" t="n"/>
    </row>
    <row r="890">
      <c r="I890" s="2" t="n"/>
    </row>
    <row r="891">
      <c r="I891" s="2" t="n"/>
    </row>
    <row r="892">
      <c r="I892" s="2" t="n"/>
    </row>
    <row r="893">
      <c r="I893" s="2" t="n"/>
    </row>
    <row r="894">
      <c r="I894" s="2" t="n"/>
    </row>
    <row r="895">
      <c r="I895" s="2" t="n"/>
    </row>
    <row r="896">
      <c r="I896" s="2" t="n"/>
    </row>
    <row r="897">
      <c r="I897" s="2" t="n"/>
    </row>
    <row r="898">
      <c r="I898" s="2" t="n"/>
    </row>
    <row r="899">
      <c r="I899" s="2" t="n"/>
    </row>
    <row r="900">
      <c r="I900" s="2" t="n"/>
    </row>
    <row r="901">
      <c r="I901" s="2" t="n"/>
    </row>
    <row r="902">
      <c r="I902" s="2" t="n"/>
    </row>
    <row r="903">
      <c r="I903" s="2" t="n"/>
    </row>
    <row r="904">
      <c r="I904" s="2" t="n"/>
    </row>
    <row r="905">
      <c r="I905" s="2" t="n"/>
    </row>
    <row r="906">
      <c r="I906" s="2" t="n"/>
    </row>
    <row r="907">
      <c r="I907" s="2" t="n"/>
    </row>
    <row r="908">
      <c r="I908" s="2" t="n"/>
    </row>
    <row r="909">
      <c r="I909" s="2" t="n"/>
    </row>
    <row r="910">
      <c r="I910" s="2" t="n"/>
    </row>
    <row r="911">
      <c r="I911" s="2" t="n"/>
    </row>
    <row r="912">
      <c r="I912" s="2" t="n"/>
    </row>
    <row r="913">
      <c r="I913" s="2" t="n"/>
    </row>
    <row r="914">
      <c r="I914" s="2" t="n"/>
    </row>
    <row r="915">
      <c r="I915" s="2" t="n"/>
    </row>
    <row r="916">
      <c r="I916" s="2" t="n"/>
    </row>
    <row r="917">
      <c r="I917" s="2" t="n"/>
    </row>
    <row r="918">
      <c r="I918" s="2" t="n"/>
    </row>
    <row r="919">
      <c r="I919" s="2" t="n"/>
    </row>
    <row r="920">
      <c r="I920" s="2" t="n"/>
    </row>
    <row r="921">
      <c r="I921" s="2" t="n"/>
    </row>
    <row r="922">
      <c r="I922" s="2" t="n"/>
    </row>
    <row r="923">
      <c r="I923" s="2" t="n"/>
    </row>
    <row r="924">
      <c r="I924" s="2" t="n"/>
    </row>
    <row r="925">
      <c r="I925" s="2" t="n"/>
    </row>
    <row r="926">
      <c r="I926" s="2" t="n"/>
    </row>
    <row r="927">
      <c r="I927" s="2" t="n"/>
    </row>
    <row r="928">
      <c r="I928" s="2" t="n"/>
    </row>
    <row r="929">
      <c r="I929" s="2" t="n"/>
    </row>
    <row r="930">
      <c r="I930" s="2" t="n"/>
    </row>
    <row r="931">
      <c r="I931" s="2" t="n"/>
    </row>
    <row r="932">
      <c r="I932" s="2" t="n"/>
    </row>
    <row r="933">
      <c r="I933" s="2" t="n"/>
    </row>
    <row r="934">
      <c r="I934" s="2" t="n"/>
    </row>
    <row r="935">
      <c r="I935" s="2" t="n"/>
    </row>
    <row r="936">
      <c r="I936" s="2" t="n"/>
    </row>
    <row r="937">
      <c r="I937" s="2" t="n"/>
    </row>
    <row r="938">
      <c r="I938" s="2" t="n"/>
    </row>
    <row r="939">
      <c r="I939" s="2" t="n"/>
    </row>
    <row r="940">
      <c r="I940" s="2" t="n"/>
    </row>
    <row r="941">
      <c r="I941" s="2" t="n"/>
    </row>
    <row r="942">
      <c r="I942" s="2" t="n"/>
    </row>
    <row r="943">
      <c r="I943" s="2" t="n"/>
    </row>
    <row r="944">
      <c r="I944" s="2" t="n"/>
    </row>
    <row r="945">
      <c r="I945" s="2" t="n"/>
    </row>
    <row r="946">
      <c r="I946" s="2" t="n"/>
    </row>
    <row r="947">
      <c r="I947" s="2" t="n"/>
    </row>
    <row r="948">
      <c r="I948" s="2" t="n"/>
    </row>
    <row r="949">
      <c r="I949" s="2" t="n"/>
    </row>
    <row r="950">
      <c r="I950" s="2" t="n"/>
    </row>
    <row r="951">
      <c r="I951" s="2" t="n"/>
    </row>
    <row r="952">
      <c r="I952" s="2" t="n"/>
    </row>
    <row r="953">
      <c r="I953" s="2" t="n"/>
    </row>
    <row r="954">
      <c r="I954" s="2" t="n"/>
    </row>
    <row r="955">
      <c r="I955" s="2" t="n"/>
    </row>
    <row r="956">
      <c r="I956" s="2" t="n"/>
    </row>
    <row r="957">
      <c r="I957" s="2" t="n"/>
    </row>
    <row r="958">
      <c r="I958" s="2" t="n"/>
    </row>
    <row r="959">
      <c r="I959" s="2" t="n"/>
    </row>
    <row r="960">
      <c r="I960" s="2" t="n"/>
    </row>
    <row r="961">
      <c r="I961" s="2" t="n"/>
    </row>
    <row r="962">
      <c r="I962" s="2" t="n"/>
    </row>
    <row r="963">
      <c r="I963" s="2" t="n"/>
    </row>
    <row r="964">
      <c r="I964" s="2" t="n"/>
    </row>
    <row r="965">
      <c r="I965" s="2" t="n"/>
    </row>
    <row r="966">
      <c r="I966" s="2" t="n"/>
    </row>
    <row r="967">
      <c r="I967" s="2" t="n"/>
    </row>
    <row r="968">
      <c r="I968" s="2" t="n"/>
    </row>
    <row r="969">
      <c r="I969" s="2" t="n"/>
    </row>
    <row r="970">
      <c r="I970" s="2" t="n"/>
    </row>
    <row r="971">
      <c r="I971" s="2" t="n"/>
    </row>
    <row r="972">
      <c r="I972" s="2" t="n"/>
    </row>
    <row r="973">
      <c r="I973" s="2" t="n"/>
    </row>
    <row r="974">
      <c r="I974" s="2" t="n"/>
    </row>
    <row r="975">
      <c r="I975" s="2" t="n"/>
    </row>
    <row r="976">
      <c r="I976" s="2" t="n"/>
    </row>
    <row r="977">
      <c r="I977" s="2" t="n"/>
    </row>
    <row r="978">
      <c r="I978" s="2" t="n"/>
    </row>
    <row r="979">
      <c r="I979" s="2" t="n"/>
    </row>
    <row r="980">
      <c r="I980" s="2" t="n"/>
    </row>
    <row r="981">
      <c r="I981" s="2" t="n"/>
    </row>
    <row r="982">
      <c r="I982" s="2" t="n"/>
    </row>
    <row r="983">
      <c r="I983" s="2" t="n"/>
    </row>
    <row r="984">
      <c r="I984" s="2" t="n"/>
    </row>
    <row r="985">
      <c r="I985" s="2" t="n"/>
    </row>
    <row r="986">
      <c r="I986" s="2" t="n"/>
    </row>
    <row r="987">
      <c r="I987" s="2" t="n"/>
    </row>
    <row r="988">
      <c r="I988" s="2" t="n"/>
    </row>
    <row r="989">
      <c r="I989" s="2" t="n"/>
    </row>
    <row r="990">
      <c r="I990" s="2" t="n"/>
    </row>
    <row r="991">
      <c r="I991" s="2" t="n"/>
    </row>
    <row r="992">
      <c r="I992" s="2" t="n"/>
    </row>
    <row r="993">
      <c r="I993" s="2" t="n"/>
    </row>
    <row r="994">
      <c r="I994" s="2" t="n"/>
    </row>
    <row r="995">
      <c r="I995" s="2" t="n"/>
    </row>
  </sheetData>
  <mergeCells count="10">
    <mergeCell ref="P4:Q4"/>
    <mergeCell ref="H4:K4"/>
    <mergeCell ref="F4:G4"/>
    <mergeCell ref="H25:K25"/>
    <mergeCell ref="F25:G25"/>
    <mergeCell ref="L4:O4"/>
    <mergeCell ref="F3:O3"/>
    <mergeCell ref="P25:Q25"/>
    <mergeCell ref="F24:O24"/>
    <mergeCell ref="L25:O25"/>
  </mergeCells>
  <dataValidations count="1">
    <dataValidation sqref="E6:E21 E27:E40" showDropDown="0" showInputMessage="0" showErrorMessage="0" allowBlank="1" type="list">
      <formula1>"Work In Progress,Complete"</formula1>
    </dataValidation>
  </dataValidations>
  <pageMargins left="0.7" right="0.7" top="0.75" bottom="0.75" header="0" footer="0"/>
  <pageSetup orientation="portrait"/>
</worksheet>
</file>

<file path=xl/worksheets/sheet14.xml><?xml version="1.0" encoding="utf-8"?>
<worksheet xmlns="http://schemas.openxmlformats.org/spreadsheetml/2006/main">
  <sheetPr>
    <tabColor rgb="FF00FF00"/>
    <outlinePr summaryBelow="1" summaryRight="1"/>
    <pageSetUpPr/>
  </sheetPr>
  <dimension ref="A1:U43"/>
  <sheetViews>
    <sheetView showGridLines="0" topLeftCell="A10" zoomScale="80" zoomScaleNormal="80" workbookViewId="0">
      <selection activeCell="A1" sqref="A1"/>
    </sheetView>
  </sheetViews>
  <sheetFormatPr baseColWidth="8" defaultColWidth="14.42578125" defaultRowHeight="15" customHeight="1" outlineLevelRow="1"/>
  <cols>
    <col width="17.42578125" customWidth="1" style="802" min="1" max="1"/>
    <col width="44.42578125" customWidth="1" style="802" min="2" max="2"/>
    <col width="26" customWidth="1" style="802" min="3" max="4"/>
    <col width="17.140625" customWidth="1" style="802" min="5" max="7"/>
    <col width="50.42578125" customWidth="1" style="802" min="8" max="8"/>
    <col width="9.85546875" customWidth="1" style="802" min="9" max="20"/>
    <col width="15.85546875" customWidth="1" style="802" min="21" max="24"/>
  </cols>
  <sheetData>
    <row r="1" ht="15" customHeight="1" s="802">
      <c r="A1" s="1" t="inlineStr">
        <is>
          <t xml:space="preserve">I. DELTA TECH HC: engineering, product, UX </t>
        </is>
      </c>
    </row>
    <row r="2">
      <c r="J2" s="28" t="n"/>
      <c r="K2" s="6" t="n"/>
      <c r="L2" s="28" t="n"/>
      <c r="M2" s="28" t="n"/>
      <c r="N2" s="28" t="n"/>
      <c r="O2" s="6" t="n"/>
      <c r="P2" s="28" t="n"/>
      <c r="Q2" s="28" t="n"/>
      <c r="R2" s="28" t="n"/>
      <c r="S2" s="6" t="n"/>
      <c r="T2" s="28" t="n"/>
    </row>
    <row r="3" ht="15" customHeight="1" s="802">
      <c r="A3" s="7" t="inlineStr">
        <is>
          <t>Headcount</t>
        </is>
      </c>
      <c r="I3" s="1088" t="n">
        <v>2019</v>
      </c>
      <c r="J3" s="1089" t="n"/>
      <c r="K3" s="1090" t="n">
        <v>2020</v>
      </c>
      <c r="L3" s="1091" t="n"/>
      <c r="M3" s="1091" t="n"/>
      <c r="N3" s="1089" t="n"/>
      <c r="O3" s="1090" t="n">
        <v>2021</v>
      </c>
      <c r="P3" s="1091" t="n"/>
      <c r="Q3" s="1091" t="n"/>
      <c r="R3" s="1089" t="n"/>
      <c r="S3" s="1088" t="n">
        <v>2022</v>
      </c>
      <c r="T3" s="1089" t="n"/>
    </row>
    <row r="4" outlineLevel="1" s="802">
      <c r="A4" s="11" t="n"/>
      <c r="B4" s="11" t="n"/>
      <c r="C4" s="11" t="n"/>
      <c r="D4" s="11" t="n"/>
      <c r="E4" s="11" t="n"/>
      <c r="F4" s="11" t="n"/>
      <c r="G4" s="11" t="n"/>
      <c r="H4" s="11" t="n"/>
      <c r="I4" s="1092" t="n">
        <v>43647</v>
      </c>
      <c r="J4" s="1092" t="n">
        <v>43739</v>
      </c>
      <c r="K4" s="1092" t="n">
        <v>43831</v>
      </c>
      <c r="L4" s="1092" t="n">
        <v>43922</v>
      </c>
      <c r="M4" s="1092" t="n">
        <v>44013</v>
      </c>
      <c r="N4" s="1092" t="n">
        <v>44105</v>
      </c>
      <c r="O4" s="1092" t="n">
        <v>44197</v>
      </c>
      <c r="P4" s="1092" t="n">
        <v>44287</v>
      </c>
      <c r="Q4" s="1092" t="n">
        <v>44378</v>
      </c>
      <c r="R4" s="1092" t="n">
        <v>44470</v>
      </c>
      <c r="S4" s="1092" t="n">
        <v>44562</v>
      </c>
      <c r="T4" s="1092" t="n">
        <v>44652</v>
      </c>
    </row>
    <row r="5">
      <c r="A5" s="16" t="inlineStr">
        <is>
          <t>Submitted by</t>
        </is>
      </c>
      <c r="B5" s="16" t="inlineStr">
        <is>
          <t>Department</t>
        </is>
      </c>
      <c r="C5" s="16" t="inlineStr">
        <is>
          <t>TBH Title</t>
        </is>
      </c>
      <c r="D5" s="16" t="inlineStr">
        <is>
          <t>Description</t>
        </is>
      </c>
      <c r="E5" s="17" t="inlineStr">
        <is>
          <t>Hire Date</t>
        </is>
      </c>
      <c r="F5" s="17" t="n"/>
      <c r="G5" s="17" t="inlineStr">
        <is>
          <t>Location</t>
        </is>
      </c>
      <c r="H5" s="16" t="inlineStr">
        <is>
          <t>Base Salary Estimate USD</t>
        </is>
      </c>
      <c r="I5" s="25" t="inlineStr">
        <is>
          <t>Q3</t>
        </is>
      </c>
      <c r="J5" s="21" t="inlineStr">
        <is>
          <t>Q4</t>
        </is>
      </c>
      <c r="K5" s="23" t="inlineStr">
        <is>
          <t>Q1</t>
        </is>
      </c>
      <c r="L5" s="25" t="inlineStr">
        <is>
          <t>Q2</t>
        </is>
      </c>
      <c r="M5" s="25" t="inlineStr">
        <is>
          <t>Q3</t>
        </is>
      </c>
      <c r="N5" s="21" t="inlineStr">
        <is>
          <t>Q4</t>
        </is>
      </c>
      <c r="O5" s="23" t="inlineStr">
        <is>
          <t>Q1</t>
        </is>
      </c>
      <c r="P5" s="25" t="inlineStr">
        <is>
          <t>Q2</t>
        </is>
      </c>
      <c r="Q5" s="25" t="inlineStr">
        <is>
          <t>Q3</t>
        </is>
      </c>
      <c r="R5" s="21" t="inlineStr">
        <is>
          <t>Q4</t>
        </is>
      </c>
      <c r="S5" s="23" t="inlineStr">
        <is>
          <t>Q1</t>
        </is>
      </c>
      <c r="T5" s="25" t="inlineStr">
        <is>
          <t>Q2</t>
        </is>
      </c>
    </row>
    <row r="6">
      <c r="A6" s="27" t="inlineStr">
        <is>
          <t xml:space="preserve">Ryan Krems  </t>
        </is>
      </c>
      <c r="B6" s="29" t="inlineStr">
        <is>
          <t>Net New Tech Hires Under New Jon O  Org</t>
        </is>
      </c>
      <c r="C6" s="30" t="inlineStr">
        <is>
          <t>Staff Engineer (P4)</t>
        </is>
      </c>
      <c r="D6" s="27" t="inlineStr">
        <is>
          <t>Android Engineer</t>
        </is>
      </c>
      <c r="E6" s="30" t="inlineStr">
        <is>
          <t>Q1 2020</t>
        </is>
      </c>
      <c r="F6" s="30" t="n"/>
      <c r="G6" s="27" t="inlineStr">
        <is>
          <t>Hong Kong</t>
        </is>
      </c>
      <c r="H6" s="29" t="inlineStr">
        <is>
          <t>Bob to Provide After Leveling mid next week (~Weds,  9/25)</t>
        </is>
      </c>
      <c r="I6" s="1094" t="n"/>
      <c r="J6" s="1095" t="n"/>
      <c r="K6" s="1095" t="inlineStr">
        <is>
          <t>Yes</t>
        </is>
      </c>
      <c r="L6" s="1095" t="inlineStr">
        <is>
          <t>Yes</t>
        </is>
      </c>
      <c r="M6" s="1095" t="inlineStr">
        <is>
          <t>Yes</t>
        </is>
      </c>
      <c r="N6" s="1095" t="inlineStr">
        <is>
          <t>Yes</t>
        </is>
      </c>
      <c r="O6" s="1095" t="inlineStr">
        <is>
          <t>Yes</t>
        </is>
      </c>
      <c r="P6" s="1095" t="inlineStr">
        <is>
          <t>Yes</t>
        </is>
      </c>
      <c r="Q6" s="1095" t="inlineStr">
        <is>
          <t>Yes</t>
        </is>
      </c>
      <c r="R6" s="1095" t="inlineStr">
        <is>
          <t>Yes</t>
        </is>
      </c>
      <c r="S6" s="1095" t="inlineStr">
        <is>
          <t>Yes</t>
        </is>
      </c>
      <c r="T6" s="1095" t="inlineStr">
        <is>
          <t>Yes</t>
        </is>
      </c>
    </row>
    <row r="7">
      <c r="A7" s="27" t="inlineStr">
        <is>
          <t xml:space="preserve">Ryan Krems  </t>
        </is>
      </c>
      <c r="B7" s="29" t="inlineStr">
        <is>
          <t>Net New Tech Hires Under New Jon O  Org</t>
        </is>
      </c>
      <c r="C7" s="794" t="inlineStr">
        <is>
          <t>Staff Engineer (P4)</t>
        </is>
      </c>
      <c r="D7" s="77" t="inlineStr">
        <is>
          <t>iOS Engineer</t>
        </is>
      </c>
      <c r="E7" s="30" t="inlineStr">
        <is>
          <t>Q4 2019</t>
        </is>
      </c>
      <c r="F7" s="30" t="n"/>
      <c r="G7" s="27" t="inlineStr">
        <is>
          <t>Hong Kong</t>
        </is>
      </c>
      <c r="H7" s="29" t="inlineStr">
        <is>
          <t>Bob to Provide After Leveling mid next week (~Weds,  9/25)</t>
        </is>
      </c>
      <c r="I7" s="1094" t="n"/>
      <c r="J7" s="1095" t="inlineStr">
        <is>
          <t>Yes</t>
        </is>
      </c>
      <c r="K7" s="1095" t="inlineStr">
        <is>
          <t>Yes</t>
        </is>
      </c>
      <c r="L7" s="1095" t="inlineStr">
        <is>
          <t>Yes</t>
        </is>
      </c>
      <c r="M7" s="1095" t="inlineStr">
        <is>
          <t>Yes</t>
        </is>
      </c>
      <c r="N7" s="1095" t="inlineStr">
        <is>
          <t>Yes</t>
        </is>
      </c>
      <c r="O7" s="1095" t="inlineStr">
        <is>
          <t>Yes</t>
        </is>
      </c>
      <c r="P7" s="1095" t="inlineStr">
        <is>
          <t>Yes</t>
        </is>
      </c>
      <c r="Q7" s="1095" t="inlineStr">
        <is>
          <t>Yes</t>
        </is>
      </c>
      <c r="R7" s="1095" t="inlineStr">
        <is>
          <t>Yes</t>
        </is>
      </c>
      <c r="S7" s="1095" t="inlineStr">
        <is>
          <t>Yes</t>
        </is>
      </c>
      <c r="T7" s="1095" t="inlineStr">
        <is>
          <t>Yes</t>
        </is>
      </c>
    </row>
    <row r="8">
      <c r="A8" s="27" t="inlineStr">
        <is>
          <t xml:space="preserve">Ryan Krems  </t>
        </is>
      </c>
      <c r="B8" s="29" t="inlineStr">
        <is>
          <t>Net New Tech Hires Under New Jon O  Org</t>
        </is>
      </c>
      <c r="C8" s="794" t="inlineStr">
        <is>
          <t>Senior Engineer (P3)</t>
        </is>
      </c>
      <c r="D8" s="77" t="inlineStr">
        <is>
          <t>iOS Engineer</t>
        </is>
      </c>
      <c r="E8" s="30" t="inlineStr">
        <is>
          <t>Q4 2019</t>
        </is>
      </c>
      <c r="F8" s="30" t="n"/>
      <c r="G8" s="27" t="inlineStr">
        <is>
          <t>Hong Kong</t>
        </is>
      </c>
      <c r="H8" s="29" t="inlineStr">
        <is>
          <t>Bob to Provide After Leveling mid next week (~Weds,  9/25)</t>
        </is>
      </c>
      <c r="I8" s="1094" t="n"/>
      <c r="J8" s="1095" t="inlineStr">
        <is>
          <t>Yes</t>
        </is>
      </c>
      <c r="K8" s="1095" t="inlineStr">
        <is>
          <t>Yes</t>
        </is>
      </c>
      <c r="L8" s="1095" t="inlineStr">
        <is>
          <t>Yes</t>
        </is>
      </c>
      <c r="M8" s="1095" t="inlineStr">
        <is>
          <t>Yes</t>
        </is>
      </c>
      <c r="N8" s="1095" t="inlineStr">
        <is>
          <t>Yes</t>
        </is>
      </c>
      <c r="O8" s="1095" t="inlineStr">
        <is>
          <t>Yes</t>
        </is>
      </c>
      <c r="P8" s="1095" t="inlineStr">
        <is>
          <t>Yes</t>
        </is>
      </c>
      <c r="Q8" s="1095" t="inlineStr">
        <is>
          <t>Yes</t>
        </is>
      </c>
      <c r="R8" s="1095" t="inlineStr">
        <is>
          <t>Yes</t>
        </is>
      </c>
      <c r="S8" s="1095" t="inlineStr">
        <is>
          <t>Yes</t>
        </is>
      </c>
      <c r="T8" s="1095" t="inlineStr">
        <is>
          <t>Yes</t>
        </is>
      </c>
    </row>
    <row r="9">
      <c r="A9" s="27" t="inlineStr">
        <is>
          <t xml:space="preserve">Ryan Krems  </t>
        </is>
      </c>
      <c r="B9" s="29" t="inlineStr">
        <is>
          <t>Net New Tech Hires Under New Jon O  Org</t>
        </is>
      </c>
      <c r="C9" s="794" t="inlineStr">
        <is>
          <t>Senior Engineer (P3)</t>
        </is>
      </c>
      <c r="D9" s="77" t="inlineStr">
        <is>
          <t>iOS Engineer</t>
        </is>
      </c>
      <c r="E9" s="30" t="inlineStr">
        <is>
          <t>Q1 2020</t>
        </is>
      </c>
      <c r="F9" s="30" t="n"/>
      <c r="G9" s="27" t="inlineStr">
        <is>
          <t>Hong Kong</t>
        </is>
      </c>
      <c r="H9" s="29" t="inlineStr">
        <is>
          <t>Bob to Provide After Leveling mid next week (~Weds,  9/25)</t>
        </is>
      </c>
      <c r="I9" s="1094" t="n"/>
      <c r="J9" s="1095" t="n"/>
      <c r="K9" s="1095" t="inlineStr">
        <is>
          <t>Yes</t>
        </is>
      </c>
      <c r="L9" s="1095" t="inlineStr">
        <is>
          <t>Yes</t>
        </is>
      </c>
      <c r="M9" s="1095" t="inlineStr">
        <is>
          <t>Yes</t>
        </is>
      </c>
      <c r="N9" s="1095" t="inlineStr">
        <is>
          <t>Yes</t>
        </is>
      </c>
      <c r="O9" s="1095" t="inlineStr">
        <is>
          <t>Yes</t>
        </is>
      </c>
      <c r="P9" s="1095" t="inlineStr">
        <is>
          <t>Yes</t>
        </is>
      </c>
      <c r="Q9" s="1095" t="inlineStr">
        <is>
          <t>Yes</t>
        </is>
      </c>
      <c r="R9" s="1095" t="inlineStr">
        <is>
          <t>Yes</t>
        </is>
      </c>
      <c r="S9" s="1095" t="inlineStr">
        <is>
          <t>Yes</t>
        </is>
      </c>
      <c r="T9" s="1095" t="inlineStr">
        <is>
          <t>Yes</t>
        </is>
      </c>
    </row>
    <row r="10">
      <c r="A10" s="27" t="inlineStr">
        <is>
          <t xml:space="preserve">Ryan Krems  </t>
        </is>
      </c>
      <c r="B10" s="29" t="inlineStr">
        <is>
          <t>Net New Tech Hires Under New Jon O  Org</t>
        </is>
      </c>
      <c r="C10" s="794" t="inlineStr">
        <is>
          <t>Senior Engineer (P3)</t>
        </is>
      </c>
      <c r="D10" s="77" t="inlineStr">
        <is>
          <t>Backend Engineer</t>
        </is>
      </c>
      <c r="E10" s="30" t="inlineStr">
        <is>
          <t>Q1 2020</t>
        </is>
      </c>
      <c r="F10" s="30" t="n"/>
      <c r="G10" s="27" t="inlineStr">
        <is>
          <t>Hong Kong</t>
        </is>
      </c>
      <c r="H10" s="29" t="inlineStr">
        <is>
          <t>Bob to Provide After Leveling mid next week (~Weds,  9/25)</t>
        </is>
      </c>
      <c r="I10" s="1094" t="n"/>
      <c r="J10" s="1095" t="n"/>
      <c r="K10" s="1095" t="inlineStr">
        <is>
          <t>Yes</t>
        </is>
      </c>
      <c r="L10" s="1095" t="inlineStr">
        <is>
          <t>Yes</t>
        </is>
      </c>
      <c r="M10" s="1095" t="inlineStr">
        <is>
          <t>Yes</t>
        </is>
      </c>
      <c r="N10" s="1095" t="inlineStr">
        <is>
          <t>Yes</t>
        </is>
      </c>
      <c r="O10" s="1095" t="inlineStr">
        <is>
          <t>Yes</t>
        </is>
      </c>
      <c r="P10" s="1095" t="inlineStr">
        <is>
          <t>Yes</t>
        </is>
      </c>
      <c r="Q10" s="1095" t="inlineStr">
        <is>
          <t>Yes</t>
        </is>
      </c>
      <c r="R10" s="1095" t="inlineStr">
        <is>
          <t>Yes</t>
        </is>
      </c>
      <c r="S10" s="1095" t="inlineStr">
        <is>
          <t>Yes</t>
        </is>
      </c>
      <c r="T10" s="1095" t="inlineStr">
        <is>
          <t>Yes</t>
        </is>
      </c>
    </row>
    <row r="11">
      <c r="A11" s="27" t="inlineStr">
        <is>
          <t xml:space="preserve">Ryan Krems  </t>
        </is>
      </c>
      <c r="B11" s="29" t="inlineStr">
        <is>
          <t>Net New Tech Hires Under New Jon O  Org</t>
        </is>
      </c>
      <c r="C11" s="794" t="inlineStr">
        <is>
          <t>Senior Engineer (P3)</t>
        </is>
      </c>
      <c r="D11" s="77" t="inlineStr">
        <is>
          <t>Backend Engineer</t>
        </is>
      </c>
      <c r="E11" s="30" t="inlineStr">
        <is>
          <t>Q1 2020</t>
        </is>
      </c>
      <c r="F11" s="30" t="n"/>
      <c r="G11" s="27" t="inlineStr">
        <is>
          <t>Hong Kong</t>
        </is>
      </c>
      <c r="H11" s="29" t="inlineStr">
        <is>
          <t>Bob to Provide After Leveling mid next week (~Weds,  9/25)</t>
        </is>
      </c>
      <c r="I11" s="1094" t="n"/>
      <c r="J11" s="1095" t="n"/>
      <c r="K11" s="1095" t="inlineStr">
        <is>
          <t>Yes</t>
        </is>
      </c>
      <c r="L11" s="1095" t="inlineStr">
        <is>
          <t>Yes</t>
        </is>
      </c>
      <c r="M11" s="1095" t="inlineStr">
        <is>
          <t>Yes</t>
        </is>
      </c>
      <c r="N11" s="1095" t="inlineStr">
        <is>
          <t>Yes</t>
        </is>
      </c>
      <c r="O11" s="1095" t="inlineStr">
        <is>
          <t>Yes</t>
        </is>
      </c>
      <c r="P11" s="1095" t="inlineStr">
        <is>
          <t>Yes</t>
        </is>
      </c>
      <c r="Q11" s="1095" t="inlineStr">
        <is>
          <t>Yes</t>
        </is>
      </c>
      <c r="R11" s="1095" t="inlineStr">
        <is>
          <t>Yes</t>
        </is>
      </c>
      <c r="S11" s="1095" t="inlineStr">
        <is>
          <t>Yes</t>
        </is>
      </c>
      <c r="T11" s="1095" t="inlineStr">
        <is>
          <t>Yes</t>
        </is>
      </c>
    </row>
    <row r="12">
      <c r="A12" s="27" t="inlineStr">
        <is>
          <t xml:space="preserve">Ryan Krems  </t>
        </is>
      </c>
      <c r="B12" s="29" t="inlineStr">
        <is>
          <t>Net New Tech Hires Under New Jon O  Org</t>
        </is>
      </c>
      <c r="C12" s="794" t="inlineStr">
        <is>
          <t>Staff Engineer (P4)</t>
        </is>
      </c>
      <c r="D12" s="77" t="inlineStr">
        <is>
          <t>Mobile Architect</t>
        </is>
      </c>
      <c r="E12" s="30" t="inlineStr">
        <is>
          <t>Q1 2020</t>
        </is>
      </c>
      <c r="F12" s="30" t="n"/>
      <c r="G12" s="27" t="inlineStr">
        <is>
          <t>Hong Kong</t>
        </is>
      </c>
      <c r="H12" s="29" t="inlineStr">
        <is>
          <t>Bob to Provide After Leveling mid next week (~Weds,  9/25)</t>
        </is>
      </c>
      <c r="I12" s="1094" t="n"/>
      <c r="J12" s="1095" t="n"/>
      <c r="K12" s="1095" t="inlineStr">
        <is>
          <t>Yes</t>
        </is>
      </c>
      <c r="L12" s="1095" t="inlineStr">
        <is>
          <t>Yes</t>
        </is>
      </c>
      <c r="M12" s="1095" t="inlineStr">
        <is>
          <t>Yes</t>
        </is>
      </c>
      <c r="N12" s="1095" t="inlineStr">
        <is>
          <t>Yes</t>
        </is>
      </c>
      <c r="O12" s="1095" t="inlineStr">
        <is>
          <t>Yes</t>
        </is>
      </c>
      <c r="P12" s="1095" t="inlineStr">
        <is>
          <t>Yes</t>
        </is>
      </c>
      <c r="Q12" s="1095" t="inlineStr">
        <is>
          <t>Yes</t>
        </is>
      </c>
      <c r="R12" s="1095" t="inlineStr">
        <is>
          <t>Yes</t>
        </is>
      </c>
      <c r="S12" s="1095" t="inlineStr">
        <is>
          <t>Yes</t>
        </is>
      </c>
      <c r="T12" s="1095" t="inlineStr">
        <is>
          <t>Yes</t>
        </is>
      </c>
    </row>
    <row r="13">
      <c r="A13" s="27" t="inlineStr">
        <is>
          <t xml:space="preserve">Ryan Krems  </t>
        </is>
      </c>
      <c r="B13" s="29" t="inlineStr">
        <is>
          <t>Net New Tech Hires Under New Jon O  Org</t>
        </is>
      </c>
      <c r="C13" s="794" t="inlineStr">
        <is>
          <t>Senior Engineer (P3)</t>
        </is>
      </c>
      <c r="D13" s="794" t="inlineStr">
        <is>
          <t>Software SDET</t>
        </is>
      </c>
      <c r="E13" s="30" t="inlineStr">
        <is>
          <t>Q1 2020</t>
        </is>
      </c>
      <c r="F13" s="30" t="n"/>
      <c r="G13" s="27" t="inlineStr">
        <is>
          <t>Hong Kong</t>
        </is>
      </c>
      <c r="H13" s="29" t="inlineStr">
        <is>
          <t>Bob to Provide After Leveling mid next week (~Weds,  9/25)</t>
        </is>
      </c>
      <c r="I13" s="1094" t="n"/>
      <c r="J13" s="1095" t="n"/>
      <c r="K13" s="1095" t="inlineStr">
        <is>
          <t>Yes</t>
        </is>
      </c>
      <c r="L13" s="1095" t="inlineStr">
        <is>
          <t>Yes</t>
        </is>
      </c>
      <c r="M13" s="1095" t="inlineStr">
        <is>
          <t>Yes</t>
        </is>
      </c>
      <c r="N13" s="1095" t="inlineStr">
        <is>
          <t>Yes</t>
        </is>
      </c>
      <c r="O13" s="1095" t="inlineStr">
        <is>
          <t>Yes</t>
        </is>
      </c>
      <c r="P13" s="1095" t="inlineStr">
        <is>
          <t>Yes</t>
        </is>
      </c>
      <c r="Q13" s="1095" t="inlineStr">
        <is>
          <t>Yes</t>
        </is>
      </c>
      <c r="R13" s="1095" t="inlineStr">
        <is>
          <t>Yes</t>
        </is>
      </c>
      <c r="S13" s="1095" t="inlineStr">
        <is>
          <t>Yes</t>
        </is>
      </c>
      <c r="T13" s="1095" t="inlineStr">
        <is>
          <t>Yes</t>
        </is>
      </c>
    </row>
    <row r="14">
      <c r="A14" s="27" t="inlineStr">
        <is>
          <t xml:space="preserve">Ryan Krems  </t>
        </is>
      </c>
      <c r="B14" s="29" t="inlineStr">
        <is>
          <t>Net New Tech Hires Under New Jon O  Org</t>
        </is>
      </c>
      <c r="C14" s="794" t="inlineStr">
        <is>
          <t>Staff Engineer (P4)</t>
        </is>
      </c>
      <c r="D14" s="794" t="inlineStr">
        <is>
          <t>Senior Software SDET</t>
        </is>
      </c>
      <c r="E14" s="30" t="inlineStr">
        <is>
          <t>Q4 2019</t>
        </is>
      </c>
      <c r="F14" s="30" t="n"/>
      <c r="G14" s="27" t="inlineStr">
        <is>
          <t>Hong Kong</t>
        </is>
      </c>
      <c r="H14" s="29" t="inlineStr">
        <is>
          <t>Bob to Provide After Leveling mid next week (~Weds,  9/25)</t>
        </is>
      </c>
      <c r="I14" s="1094" t="n"/>
      <c r="J14" s="1095" t="inlineStr">
        <is>
          <t>Yes</t>
        </is>
      </c>
      <c r="K14" s="1095" t="inlineStr">
        <is>
          <t>Yes</t>
        </is>
      </c>
      <c r="L14" s="1095" t="inlineStr">
        <is>
          <t>Yes</t>
        </is>
      </c>
      <c r="M14" s="1095" t="inlineStr">
        <is>
          <t>Yes</t>
        </is>
      </c>
      <c r="N14" s="1095" t="inlineStr">
        <is>
          <t>Yes</t>
        </is>
      </c>
      <c r="O14" s="1095" t="inlineStr">
        <is>
          <t>Yes</t>
        </is>
      </c>
      <c r="P14" s="1095" t="inlineStr">
        <is>
          <t>Yes</t>
        </is>
      </c>
      <c r="Q14" s="1095" t="inlineStr">
        <is>
          <t>Yes</t>
        </is>
      </c>
      <c r="R14" s="1095" t="inlineStr">
        <is>
          <t>Yes</t>
        </is>
      </c>
      <c r="S14" s="1095" t="inlineStr">
        <is>
          <t>Yes</t>
        </is>
      </c>
      <c r="T14" s="1095" t="inlineStr">
        <is>
          <t>Yes</t>
        </is>
      </c>
    </row>
    <row r="15">
      <c r="A15" s="27" t="inlineStr">
        <is>
          <t xml:space="preserve">Ryan Krems  </t>
        </is>
      </c>
      <c r="B15" s="29" t="inlineStr">
        <is>
          <t>Net New Tech Hires Under New Jon O  Org</t>
        </is>
      </c>
      <c r="C15" s="794" t="inlineStr">
        <is>
          <t>Engineer (P2)</t>
        </is>
      </c>
      <c r="D15" s="77" t="inlineStr">
        <is>
          <t>Manual QA</t>
        </is>
      </c>
      <c r="E15" s="30" t="inlineStr">
        <is>
          <t>Q4 2019</t>
        </is>
      </c>
      <c r="F15" s="30" t="n"/>
      <c r="G15" s="27" t="inlineStr">
        <is>
          <t>Hong Kong</t>
        </is>
      </c>
      <c r="H15" s="29" t="inlineStr">
        <is>
          <t>Bob to Provide After Leveling mid next week (~Weds,  9/25)</t>
        </is>
      </c>
      <c r="I15" s="1094" t="n"/>
      <c r="J15" s="1095" t="inlineStr">
        <is>
          <t>Yes</t>
        </is>
      </c>
      <c r="K15" s="1095" t="inlineStr">
        <is>
          <t>Yes</t>
        </is>
      </c>
      <c r="L15" s="1095" t="inlineStr">
        <is>
          <t>Yes</t>
        </is>
      </c>
      <c r="M15" s="1095" t="inlineStr">
        <is>
          <t>Yes</t>
        </is>
      </c>
      <c r="N15" s="1095" t="inlineStr">
        <is>
          <t>Yes</t>
        </is>
      </c>
      <c r="O15" s="1095" t="inlineStr">
        <is>
          <t>Yes</t>
        </is>
      </c>
      <c r="P15" s="1095" t="inlineStr">
        <is>
          <t>Yes</t>
        </is>
      </c>
      <c r="Q15" s="1095" t="inlineStr">
        <is>
          <t>Yes</t>
        </is>
      </c>
      <c r="R15" s="1095" t="inlineStr">
        <is>
          <t>Yes</t>
        </is>
      </c>
      <c r="S15" s="1095" t="inlineStr">
        <is>
          <t>Yes</t>
        </is>
      </c>
      <c r="T15" s="1095" t="inlineStr">
        <is>
          <t>Yes</t>
        </is>
      </c>
    </row>
    <row r="16">
      <c r="A16" s="27" t="inlineStr">
        <is>
          <t xml:space="preserve">Ryan Krems  </t>
        </is>
      </c>
      <c r="B16" s="29" t="inlineStr">
        <is>
          <t>Net New Tech Hires Under New Jon O  Org</t>
        </is>
      </c>
      <c r="C16" s="794" t="inlineStr">
        <is>
          <t>Engineering Manager (M3)</t>
        </is>
      </c>
      <c r="D16" s="77" t="inlineStr">
        <is>
          <t>Engineering Manager</t>
        </is>
      </c>
      <c r="E16" s="30" t="inlineStr">
        <is>
          <t>Q4 2019</t>
        </is>
      </c>
      <c r="F16" s="30" t="n"/>
      <c r="G16" s="27" t="inlineStr">
        <is>
          <t>Hong Kong</t>
        </is>
      </c>
      <c r="H16" s="29" t="inlineStr">
        <is>
          <t>Bob to Provide After Leveling mid next week (~Weds,  9/25)</t>
        </is>
      </c>
      <c r="I16" s="1094" t="n"/>
      <c r="J16" s="1095" t="inlineStr">
        <is>
          <t>Yes</t>
        </is>
      </c>
      <c r="K16" s="1095" t="inlineStr">
        <is>
          <t>Yes</t>
        </is>
      </c>
      <c r="L16" s="1095" t="inlineStr">
        <is>
          <t>Yes</t>
        </is>
      </c>
      <c r="M16" s="1095" t="inlineStr">
        <is>
          <t>Yes</t>
        </is>
      </c>
      <c r="N16" s="1095" t="inlineStr">
        <is>
          <t>Yes</t>
        </is>
      </c>
      <c r="O16" s="1095" t="inlineStr">
        <is>
          <t>Yes</t>
        </is>
      </c>
      <c r="P16" s="1095" t="inlineStr">
        <is>
          <t>Yes</t>
        </is>
      </c>
      <c r="Q16" s="1095" t="inlineStr">
        <is>
          <t>Yes</t>
        </is>
      </c>
      <c r="R16" s="1095" t="inlineStr">
        <is>
          <t>Yes</t>
        </is>
      </c>
      <c r="S16" s="1095" t="inlineStr">
        <is>
          <t>Yes</t>
        </is>
      </c>
      <c r="T16" s="1095" t="inlineStr">
        <is>
          <t>Yes</t>
        </is>
      </c>
    </row>
    <row r="17">
      <c r="A17" s="27" t="inlineStr">
        <is>
          <t xml:space="preserve">Ryan Krems  </t>
        </is>
      </c>
      <c r="B17" s="29" t="inlineStr">
        <is>
          <t>Net New Tech Hires Under New Jon O  Org</t>
        </is>
      </c>
      <c r="C17" s="794" t="inlineStr">
        <is>
          <t>Senior Engineer (P3)</t>
        </is>
      </c>
      <c r="D17" s="77" t="inlineStr">
        <is>
          <t>SRE</t>
        </is>
      </c>
      <c r="E17" s="30" t="inlineStr">
        <is>
          <t>Q3 2020</t>
        </is>
      </c>
      <c r="F17" s="30" t="n"/>
      <c r="G17" s="27" t="inlineStr">
        <is>
          <t>Hong Kong</t>
        </is>
      </c>
      <c r="H17" s="29" t="inlineStr">
        <is>
          <t>Bob to Provide After Leveling mid next week (~Weds,  9/25)</t>
        </is>
      </c>
      <c r="I17" s="1094" t="n"/>
      <c r="J17" s="1095" t="n"/>
      <c r="K17" s="1095" t="n"/>
      <c r="L17" s="1095" t="n"/>
      <c r="M17" s="1095" t="inlineStr">
        <is>
          <t>Yes</t>
        </is>
      </c>
      <c r="N17" s="1095" t="inlineStr">
        <is>
          <t>Yes</t>
        </is>
      </c>
      <c r="O17" s="1095" t="inlineStr">
        <is>
          <t>Yes</t>
        </is>
      </c>
      <c r="P17" s="1095" t="inlineStr">
        <is>
          <t>Yes</t>
        </is>
      </c>
      <c r="Q17" s="1095" t="inlineStr">
        <is>
          <t>Yes</t>
        </is>
      </c>
      <c r="R17" s="1095" t="inlineStr">
        <is>
          <t>Yes</t>
        </is>
      </c>
      <c r="S17" s="1095" t="inlineStr">
        <is>
          <t>Yes</t>
        </is>
      </c>
      <c r="T17" s="1095" t="inlineStr">
        <is>
          <t>Yes</t>
        </is>
      </c>
    </row>
    <row r="18">
      <c r="A18" s="77" t="inlineStr">
        <is>
          <t xml:space="preserve">Ryan Krems  </t>
        </is>
      </c>
      <c r="B18" s="29" t="inlineStr">
        <is>
          <t>Net New Tech Hires Under New Jon O  Org</t>
        </is>
      </c>
      <c r="C18" s="794" t="inlineStr">
        <is>
          <t>Senior Engineer (P3)</t>
        </is>
      </c>
      <c r="D18" s="77" t="inlineStr">
        <is>
          <t>SRE</t>
        </is>
      </c>
      <c r="E18" s="30" t="inlineStr">
        <is>
          <t>Q3 2020</t>
        </is>
      </c>
      <c r="F18" s="30" t="n"/>
      <c r="G18" s="77" t="inlineStr">
        <is>
          <t>Hong Kong</t>
        </is>
      </c>
      <c r="H18" s="29" t="inlineStr">
        <is>
          <t>Bob to Provide After Leveling mid next week (~Weds,  9/25)</t>
        </is>
      </c>
      <c r="I18" s="1094" t="n"/>
      <c r="J18" s="1095" t="n"/>
      <c r="K18" s="1095" t="n"/>
      <c r="L18" s="1095" t="n"/>
      <c r="M18" s="1095" t="inlineStr">
        <is>
          <t>Yes</t>
        </is>
      </c>
      <c r="N18" s="1095" t="inlineStr">
        <is>
          <t>Yes</t>
        </is>
      </c>
      <c r="O18" s="1095" t="inlineStr">
        <is>
          <t>Yes</t>
        </is>
      </c>
      <c r="P18" s="1095" t="inlineStr">
        <is>
          <t>Yes</t>
        </is>
      </c>
      <c r="Q18" s="1095" t="inlineStr">
        <is>
          <t>Yes</t>
        </is>
      </c>
      <c r="R18" s="1095" t="inlineStr">
        <is>
          <t>Yes</t>
        </is>
      </c>
      <c r="S18" s="1095" t="inlineStr">
        <is>
          <t>Yes</t>
        </is>
      </c>
      <c r="T18" s="1095" t="inlineStr">
        <is>
          <t>Yes</t>
        </is>
      </c>
    </row>
    <row r="19" ht="30" customHeight="1" s="802">
      <c r="A19" s="27" t="inlineStr">
        <is>
          <t>Ryan Krems</t>
        </is>
      </c>
      <c r="B19" s="29" t="inlineStr">
        <is>
          <t>Product</t>
        </is>
      </c>
      <c r="C19" s="45" t="inlineStr">
        <is>
          <t>Senior UX Manager (M3)</t>
        </is>
      </c>
      <c r="D19" s="46" t="inlineStr">
        <is>
          <t>Manager to build out UX team in the region</t>
        </is>
      </c>
      <c r="E19" s="37" t="n"/>
      <c r="G19" s="27" t="inlineStr">
        <is>
          <t>Hong Kong</t>
        </is>
      </c>
      <c r="H19" s="29" t="inlineStr">
        <is>
          <t>Bob to Provide After Leveling mid next week (~Weds,  9/25)</t>
        </is>
      </c>
      <c r="I19" s="1094" t="n"/>
      <c r="J19" s="1095" t="inlineStr">
        <is>
          <t>Yes</t>
        </is>
      </c>
      <c r="K19" s="1095" t="inlineStr">
        <is>
          <t>Yes</t>
        </is>
      </c>
      <c r="L19" s="1095" t="inlineStr">
        <is>
          <t>Yes</t>
        </is>
      </c>
      <c r="M19" s="1095" t="inlineStr">
        <is>
          <t>Yes</t>
        </is>
      </c>
      <c r="N19" s="1095" t="inlineStr">
        <is>
          <t>Yes</t>
        </is>
      </c>
      <c r="O19" s="1095" t="inlineStr">
        <is>
          <t>Yes</t>
        </is>
      </c>
      <c r="P19" s="1095" t="inlineStr">
        <is>
          <t>Yes</t>
        </is>
      </c>
      <c r="Q19" s="1095" t="inlineStr">
        <is>
          <t>Yes</t>
        </is>
      </c>
      <c r="R19" s="1095" t="inlineStr">
        <is>
          <t>Yes</t>
        </is>
      </c>
      <c r="S19" s="1095" t="inlineStr">
        <is>
          <t>Yes</t>
        </is>
      </c>
      <c r="T19" s="1095" t="inlineStr">
        <is>
          <t>Yes</t>
        </is>
      </c>
    </row>
    <row r="20">
      <c r="A20" s="77" t="inlineStr">
        <is>
          <t xml:space="preserve">Ryan Krems  </t>
        </is>
      </c>
      <c r="B20" s="47" t="inlineStr">
        <is>
          <t>Existing Delta Tech Headcount Under New Jon O Org</t>
        </is>
      </c>
      <c r="C20" s="48" t="inlineStr">
        <is>
          <t>Staff Engineer (P4)</t>
        </is>
      </c>
      <c r="D20" s="48" t="inlineStr">
        <is>
          <t>Backend - Tech Lead</t>
        </is>
      </c>
      <c r="E20" s="48" t="inlineStr">
        <is>
          <t>Clarence - Current</t>
        </is>
      </c>
      <c r="F20" s="48" t="n"/>
      <c r="G20" s="48" t="inlineStr">
        <is>
          <t>Hong Kong</t>
        </is>
      </c>
      <c r="H20" s="47" t="inlineStr">
        <is>
          <t>Bob to Provide After Leveling mid next week (~Weds,  9/25)</t>
        </is>
      </c>
      <c r="I20" s="1094" t="n"/>
      <c r="J20" s="1095" t="n"/>
      <c r="K20" s="1095" t="n"/>
      <c r="L20" s="1095" t="n"/>
      <c r="M20" s="1095" t="n"/>
      <c r="N20" s="1095" t="n"/>
      <c r="O20" s="1095" t="n"/>
      <c r="P20" s="1095" t="n"/>
      <c r="Q20" s="1095" t="n"/>
      <c r="R20" s="1095" t="n"/>
      <c r="S20" s="1095" t="n"/>
      <c r="T20" s="1095" t="n"/>
    </row>
    <row r="21">
      <c r="A21" s="77" t="inlineStr">
        <is>
          <t xml:space="preserve">Ryan Krems  </t>
        </is>
      </c>
      <c r="B21" s="47" t="inlineStr">
        <is>
          <t>Existing Delta Tech Headcount Under New Jon O Org</t>
        </is>
      </c>
      <c r="C21" s="48" t="inlineStr">
        <is>
          <t>Senior Engineer (P3)</t>
        </is>
      </c>
      <c r="D21" s="48" t="inlineStr">
        <is>
          <t>Android Engineer</t>
        </is>
      </c>
      <c r="E21" s="48" t="inlineStr">
        <is>
          <t>Kit - Current</t>
        </is>
      </c>
      <c r="F21" s="48" t="n"/>
      <c r="G21" s="48" t="inlineStr">
        <is>
          <t>Hong Kong</t>
        </is>
      </c>
      <c r="H21" s="47" t="inlineStr">
        <is>
          <t>Bob to Provide After Leveling mid next week (~Weds,  9/25)</t>
        </is>
      </c>
      <c r="I21" s="1094" t="n"/>
      <c r="J21" s="1095" t="n"/>
      <c r="K21" s="1095" t="n"/>
      <c r="L21" s="1095" t="n"/>
      <c r="M21" s="1095" t="n"/>
      <c r="N21" s="1095" t="n"/>
      <c r="O21" s="1095" t="n"/>
      <c r="P21" s="1095" t="n"/>
      <c r="Q21" s="1095" t="n"/>
      <c r="R21" s="1095" t="n"/>
      <c r="S21" s="1095" t="n"/>
      <c r="T21" s="1095" t="n"/>
    </row>
    <row r="22">
      <c r="A22" s="77" t="inlineStr">
        <is>
          <t xml:space="preserve">Ryan Krems  </t>
        </is>
      </c>
      <c r="B22" s="47" t="inlineStr">
        <is>
          <t>Existing Delta Tech Headcount Under New Jon O Org</t>
        </is>
      </c>
      <c r="C22" s="48" t="inlineStr">
        <is>
          <t>Senior Engineer (P3)</t>
        </is>
      </c>
      <c r="D22" s="48" t="inlineStr">
        <is>
          <t>Backend Engineer</t>
        </is>
      </c>
      <c r="E22" s="48" t="inlineStr">
        <is>
          <t xml:space="preserve">Keith - Current </t>
        </is>
      </c>
      <c r="F22" s="48" t="n"/>
      <c r="G22" s="48" t="inlineStr">
        <is>
          <t>Hong Kong</t>
        </is>
      </c>
      <c r="H22" s="47" t="inlineStr">
        <is>
          <t>Bob to Provide After Leveling mid next week (~Weds,  9/25)</t>
        </is>
      </c>
      <c r="I22" s="1094" t="n"/>
      <c r="J22" s="1095" t="n"/>
      <c r="K22" s="1095" t="n"/>
      <c r="L22" s="1095" t="n"/>
      <c r="M22" s="1095" t="n"/>
      <c r="N22" s="1095" t="n"/>
      <c r="O22" s="1095" t="n"/>
      <c r="P22" s="1095" t="n"/>
      <c r="Q22" s="1095" t="n"/>
      <c r="R22" s="1095" t="n"/>
      <c r="S22" s="1095" t="n"/>
      <c r="T22" s="1095" t="n"/>
    </row>
    <row r="23">
      <c r="A23" s="77" t="inlineStr">
        <is>
          <t xml:space="preserve">Ryan Krems  </t>
        </is>
      </c>
      <c r="B23" s="47" t="inlineStr">
        <is>
          <t>Existing Delta Tech Headcount Under New Jon O Org</t>
        </is>
      </c>
      <c r="C23" s="48" t="inlineStr">
        <is>
          <t>Senior Engineer (P3)</t>
        </is>
      </c>
      <c r="D23" s="48" t="inlineStr">
        <is>
          <t>Android Engineer</t>
        </is>
      </c>
      <c r="E23" s="48" t="inlineStr">
        <is>
          <t>Chung - Current</t>
        </is>
      </c>
      <c r="F23" s="48" t="n"/>
      <c r="G23" s="48" t="inlineStr">
        <is>
          <t>Hong Kong</t>
        </is>
      </c>
      <c r="H23" s="47" t="inlineStr">
        <is>
          <t>Bob to Provide After Leveling mid next week (~Weds,  9/25)</t>
        </is>
      </c>
      <c r="I23" s="1094" t="n"/>
      <c r="J23" s="1095" t="n"/>
      <c r="K23" s="1095" t="n"/>
      <c r="L23" s="1095" t="n"/>
      <c r="M23" s="1095" t="n"/>
      <c r="N23" s="1095" t="n"/>
      <c r="O23" s="1095" t="n"/>
      <c r="P23" s="1095" t="n"/>
      <c r="Q23" s="1095" t="n"/>
      <c r="R23" s="1095" t="n"/>
      <c r="S23" s="1095" t="n"/>
      <c r="T23" s="1095" t="n"/>
    </row>
    <row r="24">
      <c r="A24" s="77" t="inlineStr">
        <is>
          <t xml:space="preserve">Ryan Krems  </t>
        </is>
      </c>
      <c r="B24" s="47" t="inlineStr">
        <is>
          <t>Existing Delta Tech Headcount Under New Jon O Org</t>
        </is>
      </c>
      <c r="C24" s="48" t="inlineStr">
        <is>
          <t>Engineer (P1)</t>
        </is>
      </c>
      <c r="D24" s="48" t="inlineStr">
        <is>
          <t>Associate Android Engineer</t>
        </is>
      </c>
      <c r="E24" s="48" t="inlineStr">
        <is>
          <t>Man - Current</t>
        </is>
      </c>
      <c r="F24" s="48" t="n"/>
      <c r="G24" s="48" t="inlineStr">
        <is>
          <t>Hong Kong</t>
        </is>
      </c>
      <c r="H24" s="47" t="inlineStr">
        <is>
          <t>Bob to Provide After Leveling mid next week (~Weds,  9/25)</t>
        </is>
      </c>
      <c r="I24" s="1094" t="n"/>
      <c r="J24" s="1095" t="n"/>
      <c r="K24" s="1095" t="n"/>
      <c r="L24" s="1095" t="n"/>
      <c r="M24" s="1095" t="n"/>
      <c r="N24" s="1095" t="n"/>
      <c r="O24" s="1095" t="n"/>
      <c r="P24" s="1095" t="n"/>
      <c r="Q24" s="1095" t="n"/>
      <c r="R24" s="1095" t="n"/>
      <c r="S24" s="1095" t="n"/>
      <c r="T24" s="1095" t="n"/>
    </row>
    <row r="25">
      <c r="A25" s="49" t="inlineStr"/>
      <c r="B25" s="48" t="n"/>
      <c r="C25" s="48" t="n"/>
      <c r="D25" s="48" t="n"/>
      <c r="E25" s="48" t="n"/>
      <c r="F25" s="48" t="n"/>
      <c r="G25" s="48" t="n"/>
      <c r="H25" s="48" t="n"/>
      <c r="I25" s="1094" t="n"/>
      <c r="J25" s="1095" t="n"/>
      <c r="K25" s="1095" t="n"/>
      <c r="L25" s="1095" t="n"/>
      <c r="M25" s="1095" t="n"/>
      <c r="N25" s="1095" t="n"/>
      <c r="O25" s="1095" t="n"/>
      <c r="P25" s="1095" t="n"/>
      <c r="Q25" s="1095" t="n"/>
      <c r="R25" s="1095" t="n"/>
      <c r="S25" s="1095" t="n"/>
      <c r="T25" s="1095" t="n"/>
    </row>
    <row r="26">
      <c r="B26" s="51" t="n"/>
      <c r="I26" s="52">
        <f>COUNTA(I6:I19)</f>
        <v/>
      </c>
      <c r="J26" s="52">
        <f>COUNTA(J6:J19)</f>
        <v/>
      </c>
      <c r="K26" s="52">
        <f>COUNTA(K6:K19)</f>
        <v/>
      </c>
      <c r="L26" s="52">
        <f>COUNTA(L6:L19)</f>
        <v/>
      </c>
      <c r="M26" s="52">
        <f>COUNTA(M6:M19)</f>
        <v/>
      </c>
      <c r="N26" s="52">
        <f>COUNTA(N6:N19)</f>
        <v/>
      </c>
      <c r="O26" s="52">
        <f>COUNTA(O6:O19)</f>
        <v/>
      </c>
      <c r="P26" s="52">
        <f>COUNTA(P6:P19)</f>
        <v/>
      </c>
      <c r="Q26" s="52">
        <f>COUNTA(Q6:Q19)</f>
        <v/>
      </c>
      <c r="R26" s="52">
        <f>COUNTA(R6:R19)</f>
        <v/>
      </c>
      <c r="S26" s="52">
        <f>COUNTA(S6:S19)</f>
        <v/>
      </c>
      <c r="T26" s="52">
        <f>COUNTA(T6:T19)</f>
        <v/>
      </c>
      <c r="U26" s="53">
        <f>SUM(U6:U25)</f>
        <v/>
      </c>
    </row>
    <row r="27">
      <c r="B27" s="28" t="n"/>
      <c r="C27" s="28" t="n"/>
      <c r="D27" s="28" t="n"/>
      <c r="E27" s="28" t="n"/>
      <c r="F27" s="28" t="n"/>
      <c r="G27" s="28" t="n"/>
      <c r="H27" s="28" t="n"/>
      <c r="I27" s="28" t="n"/>
      <c r="J27" s="28" t="n"/>
      <c r="K27" s="28" t="n"/>
      <c r="L27" s="28" t="n"/>
      <c r="M27" s="28" t="n"/>
      <c r="N27" s="28" t="n"/>
      <c r="O27" s="28" t="n"/>
      <c r="P27" s="28" t="n"/>
      <c r="Q27" s="28" t="n"/>
      <c r="R27" s="28" t="n"/>
      <c r="S27" s="28" t="n"/>
      <c r="T27" s="28" t="n"/>
    </row>
    <row r="28" ht="15" customHeight="1" s="802">
      <c r="A28" s="7" t="inlineStr">
        <is>
          <t>Non Headcount</t>
        </is>
      </c>
      <c r="B28" s="28" t="n"/>
      <c r="C28" s="28" t="n"/>
      <c r="D28" s="28" t="n"/>
      <c r="E28" s="28" t="n"/>
      <c r="F28" s="28" t="n"/>
      <c r="G28" s="28" t="n"/>
      <c r="H28" s="28" t="n"/>
      <c r="I28" s="1088" t="n">
        <v>2019</v>
      </c>
      <c r="J28" s="1089" t="n"/>
      <c r="K28" s="1090" t="n">
        <v>2020</v>
      </c>
      <c r="L28" s="1091" t="n"/>
      <c r="M28" s="1091" t="n"/>
      <c r="N28" s="1089" t="n"/>
      <c r="O28" s="1090" t="n">
        <v>2021</v>
      </c>
      <c r="P28" s="1091" t="n"/>
      <c r="Q28" s="1091" t="n"/>
      <c r="R28" s="1089" t="n"/>
      <c r="S28" s="1088" t="n">
        <v>2022</v>
      </c>
      <c r="T28" s="1089" t="n"/>
    </row>
    <row r="29">
      <c r="A29" s="54" t="inlineStr">
        <is>
          <t>Submitted by</t>
        </is>
      </c>
      <c r="B29" s="54" t="inlineStr">
        <is>
          <t>Department</t>
        </is>
      </c>
      <c r="C29" s="54" t="inlineStr">
        <is>
          <t>Description of Spend</t>
        </is>
      </c>
      <c r="D29" s="1099" t="inlineStr">
        <is>
          <t>Justification</t>
        </is>
      </c>
      <c r="H29" s="55" t="inlineStr">
        <is>
          <t>Total Cost Estimate</t>
        </is>
      </c>
      <c r="I29" s="18" t="inlineStr">
        <is>
          <t>Q3</t>
        </is>
      </c>
      <c r="J29" s="26" t="inlineStr">
        <is>
          <t>Q4</t>
        </is>
      </c>
      <c r="K29" s="22" t="inlineStr">
        <is>
          <t>Q1</t>
        </is>
      </c>
      <c r="L29" s="18" t="inlineStr">
        <is>
          <t>Q2</t>
        </is>
      </c>
      <c r="M29" s="18" t="inlineStr">
        <is>
          <t>Q3</t>
        </is>
      </c>
      <c r="N29" s="26" t="inlineStr">
        <is>
          <t>Q4</t>
        </is>
      </c>
      <c r="O29" s="22" t="inlineStr">
        <is>
          <t>Q1</t>
        </is>
      </c>
      <c r="P29" s="18" t="inlineStr">
        <is>
          <t>Q2</t>
        </is>
      </c>
      <c r="Q29" s="18" t="inlineStr">
        <is>
          <t>Q3</t>
        </is>
      </c>
      <c r="R29" s="26" t="inlineStr">
        <is>
          <t>Q4</t>
        </is>
      </c>
      <c r="S29" s="22" t="inlineStr">
        <is>
          <t>Q1</t>
        </is>
      </c>
      <c r="T29" s="18" t="inlineStr">
        <is>
          <t>Q2</t>
        </is>
      </c>
    </row>
    <row r="30">
      <c r="A30" s="77" t="inlineStr">
        <is>
          <t>Dawn Baker</t>
        </is>
      </c>
    </row>
    <row r="31">
      <c r="A31" s="77" t="n"/>
    </row>
    <row r="32">
      <c r="I32" s="1101" t="n"/>
      <c r="J32" s="1102" t="n"/>
      <c r="K32" s="1102" t="n"/>
      <c r="L32" s="1102" t="n"/>
      <c r="M32" s="1102" t="n"/>
      <c r="N32" s="1102" t="n"/>
      <c r="O32" s="1102" t="n"/>
      <c r="P32" s="1102" t="n"/>
      <c r="Q32" s="1102" t="n"/>
      <c r="R32" s="1102" t="n"/>
      <c r="S32" s="1102" t="n"/>
      <c r="T32" s="1102" t="n"/>
    </row>
    <row r="33">
      <c r="A33" s="77" t="n"/>
      <c r="B33" s="77" t="n"/>
      <c r="C33" s="77" t="n"/>
      <c r="D33" s="77" t="n"/>
      <c r="E33" s="1103" t="n"/>
      <c r="F33" s="1103" t="n"/>
      <c r="G33" s="1104" t="n"/>
      <c r="H33" s="1100" t="n"/>
      <c r="I33" s="1101" t="n"/>
      <c r="J33" s="1106" t="n"/>
      <c r="K33" s="1102" t="n"/>
      <c r="L33" s="1102" t="n"/>
      <c r="M33" s="1102" t="n"/>
      <c r="N33" s="1102" t="n"/>
      <c r="O33" s="1102" t="n"/>
      <c r="P33" s="1102" t="n"/>
      <c r="Q33" s="1102" t="n"/>
      <c r="R33" s="1102" t="n"/>
      <c r="S33" s="1102" t="n"/>
      <c r="T33" s="1102" t="n"/>
    </row>
    <row r="34">
      <c r="A34" s="77" t="n"/>
      <c r="B34" s="77" t="n"/>
      <c r="C34" s="77" t="n"/>
      <c r="D34" s="77" t="n"/>
      <c r="E34" s="1103" t="n"/>
      <c r="F34" s="1103" t="n"/>
      <c r="G34" s="1104" t="n"/>
      <c r="H34" s="1100" t="n"/>
      <c r="I34" s="1101" t="n"/>
      <c r="J34" s="1106" t="n"/>
      <c r="K34" s="1102" t="n"/>
      <c r="L34" s="1102" t="n"/>
      <c r="M34" s="1102" t="n"/>
      <c r="N34" s="1102" t="n"/>
      <c r="O34" s="1102" t="n"/>
      <c r="P34" s="1102" t="n"/>
      <c r="Q34" s="1102" t="n"/>
      <c r="R34" s="1102" t="n"/>
      <c r="S34" s="1102" t="n"/>
      <c r="T34" s="1102" t="n"/>
    </row>
    <row r="35">
      <c r="A35" s="77" t="n"/>
      <c r="B35" s="77" t="n"/>
      <c r="C35" s="77" t="n"/>
      <c r="D35" s="77" t="n"/>
      <c r="E35" s="1103" t="n"/>
      <c r="F35" s="1103" t="n"/>
      <c r="G35" s="1104" t="n"/>
      <c r="H35" s="1100" t="n"/>
      <c r="I35" s="1101" t="n"/>
      <c r="J35" s="1106" t="n"/>
      <c r="K35" s="1102" t="n"/>
      <c r="L35" s="1102" t="n"/>
      <c r="M35" s="1102" t="n"/>
      <c r="N35" s="1102" t="n"/>
      <c r="O35" s="1102" t="n"/>
      <c r="P35" s="1102" t="n"/>
      <c r="Q35" s="1102" t="n"/>
      <c r="R35" s="1102" t="n"/>
      <c r="S35" s="1102" t="n"/>
      <c r="T35" s="1102" t="n"/>
    </row>
    <row r="36">
      <c r="A36" s="77" t="n"/>
      <c r="B36" s="77" t="n"/>
      <c r="C36" s="77" t="n"/>
      <c r="D36" s="77" t="n"/>
      <c r="E36" s="1103" t="n"/>
      <c r="F36" s="1103" t="n"/>
      <c r="G36" s="1104" t="n"/>
      <c r="H36" s="1100" t="n"/>
      <c r="I36" s="1101" t="n"/>
      <c r="J36" s="1106" t="n"/>
      <c r="K36" s="1102" t="n"/>
      <c r="L36" s="1102" t="n"/>
      <c r="M36" s="1102" t="n"/>
      <c r="N36" s="1102" t="n"/>
      <c r="O36" s="1102" t="n"/>
      <c r="P36" s="1102" t="n"/>
      <c r="Q36" s="1102" t="n"/>
      <c r="R36" s="1102" t="n"/>
      <c r="S36" s="1102" t="n"/>
      <c r="T36" s="1102" t="n"/>
    </row>
    <row r="37">
      <c r="A37" s="77" t="n"/>
      <c r="B37" s="77" t="n"/>
      <c r="C37" s="60" t="n"/>
      <c r="D37" s="77" t="n"/>
      <c r="E37" s="1103" t="n"/>
      <c r="F37" s="1103" t="n"/>
      <c r="G37" s="1104" t="n"/>
      <c r="H37" s="1100" t="n"/>
      <c r="I37" s="1107" t="n"/>
      <c r="J37" s="1102" t="n"/>
      <c r="K37" s="1102" t="n"/>
      <c r="L37" s="1102" t="n"/>
      <c r="M37" s="1102" t="n"/>
      <c r="N37" s="1102" t="n"/>
      <c r="O37" s="1102" t="n"/>
      <c r="P37" s="1102" t="n"/>
      <c r="Q37" s="1102" t="n"/>
      <c r="R37" s="1102" t="n"/>
      <c r="S37" s="1102" t="n"/>
      <c r="T37" s="1102" t="n"/>
    </row>
    <row r="38">
      <c r="A38" s="77" t="n"/>
      <c r="B38" s="77" t="n"/>
      <c r="C38" s="60" t="n"/>
      <c r="D38" s="77" t="n"/>
      <c r="E38" s="1103" t="n"/>
      <c r="F38" s="1103" t="n"/>
      <c r="G38" s="1104" t="n"/>
      <c r="H38" s="1100" t="n"/>
      <c r="I38" s="1107" t="n"/>
      <c r="J38" s="1102" t="n"/>
      <c r="K38" s="1102" t="n"/>
      <c r="L38" s="1102" t="n"/>
      <c r="M38" s="1102" t="n"/>
      <c r="N38" s="1102" t="n"/>
      <c r="O38" s="1102" t="n"/>
      <c r="P38" s="1102" t="n"/>
      <c r="Q38" s="1102" t="n"/>
      <c r="R38" s="1102" t="n"/>
      <c r="S38" s="1102" t="n"/>
      <c r="T38" s="1102" t="n"/>
    </row>
    <row r="39">
      <c r="A39" s="77" t="n"/>
      <c r="B39" s="77" t="n"/>
      <c r="C39" s="60" t="n"/>
      <c r="D39" s="77" t="n"/>
      <c r="E39" s="1103" t="n"/>
      <c r="F39" s="1103" t="n"/>
      <c r="G39" s="1104" t="n"/>
      <c r="H39" s="1100" t="n"/>
      <c r="I39" s="1107" t="n"/>
      <c r="J39" s="1102" t="n"/>
      <c r="K39" s="1102" t="n"/>
      <c r="L39" s="1102" t="n"/>
      <c r="M39" s="1102" t="n"/>
      <c r="N39" s="1102" t="n"/>
      <c r="O39" s="1102" t="n"/>
      <c r="P39" s="1102" t="n"/>
      <c r="Q39" s="1102" t="n"/>
      <c r="R39" s="1102" t="n"/>
      <c r="S39" s="1102" t="n"/>
      <c r="T39" s="1102" t="n"/>
    </row>
    <row r="40">
      <c r="A40" s="77" t="n"/>
      <c r="B40" s="77" t="n"/>
      <c r="C40" s="77" t="n"/>
      <c r="D40" s="77" t="n"/>
      <c r="E40" s="1103" t="n"/>
      <c r="F40" s="1103" t="n"/>
      <c r="G40" s="1104" t="n"/>
      <c r="H40" s="1100" t="n"/>
      <c r="I40" s="1107" t="n"/>
      <c r="J40" s="1102" t="n"/>
      <c r="K40" s="1102" t="n"/>
      <c r="L40" s="1102" t="n"/>
      <c r="M40" s="1102" t="n"/>
      <c r="N40" s="1102" t="n"/>
      <c r="O40" s="1102" t="n"/>
      <c r="P40" s="1102" t="n"/>
      <c r="Q40" s="1102" t="n"/>
      <c r="R40" s="1102" t="n"/>
      <c r="S40" s="1102" t="n"/>
      <c r="T40" s="1102" t="n"/>
    </row>
    <row r="41">
      <c r="A41" s="77" t="n"/>
      <c r="B41" s="77" t="n"/>
      <c r="C41" s="77" t="n"/>
      <c r="D41" s="77" t="n"/>
      <c r="E41" s="1103" t="n"/>
      <c r="F41" s="1103" t="n"/>
      <c r="G41" s="1104" t="n"/>
      <c r="H41" s="1100" t="n"/>
      <c r="I41" s="1101" t="n"/>
      <c r="J41" s="1106" t="n"/>
      <c r="K41" s="1106" t="n"/>
      <c r="L41" s="1106" t="n"/>
      <c r="M41" s="1106" t="n"/>
      <c r="N41" s="1106" t="n"/>
      <c r="O41" s="1106" t="n"/>
      <c r="P41" s="1106" t="n"/>
      <c r="Q41" s="1106" t="n"/>
      <c r="R41" s="1106" t="n"/>
      <c r="S41" s="1106" t="n"/>
      <c r="T41" s="1106" t="n"/>
    </row>
    <row r="42">
      <c r="A42" s="77" t="n"/>
      <c r="B42" s="77" t="n"/>
      <c r="C42" s="77" t="n"/>
      <c r="D42" s="77" t="n"/>
      <c r="E42" s="1103" t="n"/>
      <c r="F42" s="1103" t="n"/>
      <c r="G42" s="1104" t="n"/>
      <c r="H42" s="1108" t="n"/>
      <c r="I42" s="1109" t="n"/>
      <c r="J42" s="1110" t="n"/>
      <c r="K42" s="1110" t="n"/>
      <c r="L42" s="1110" t="n"/>
      <c r="M42" s="1110" t="n"/>
      <c r="N42" s="1110" t="n"/>
      <c r="O42" s="1110" t="n"/>
      <c r="P42" s="1110" t="n"/>
      <c r="Q42" s="1110" t="n"/>
      <c r="R42" s="1110" t="n"/>
      <c r="S42" s="1110" t="n"/>
      <c r="T42" s="1110" t="n"/>
    </row>
    <row r="43">
      <c r="H43" s="78">
        <f>SUM(H30:H42)</f>
        <v/>
      </c>
      <c r="I43" s="80">
        <f>SUM(I30:I36)</f>
        <v/>
      </c>
      <c r="J43" s="78">
        <f>SUM(J30:J36)</f>
        <v/>
      </c>
      <c r="K43" s="78">
        <f>SUM(K30:K36)</f>
        <v/>
      </c>
      <c r="L43" s="78">
        <f>SUM(L30:L36)</f>
        <v/>
      </c>
      <c r="M43" s="78">
        <f>SUM(M30:M36)</f>
        <v/>
      </c>
      <c r="N43" s="78">
        <f>SUM(N30:N36)</f>
        <v/>
      </c>
      <c r="O43" s="78">
        <f>SUM(O30:O36)</f>
        <v/>
      </c>
      <c r="P43" s="78">
        <f>SUM(P30:P36)</f>
        <v/>
      </c>
      <c r="Q43" s="78">
        <f>SUM(Q30:Q36)</f>
        <v/>
      </c>
      <c r="R43" s="78">
        <f>SUM(R30:R36)</f>
        <v/>
      </c>
      <c r="S43" s="78">
        <f>SUM(S30:S36)</f>
        <v/>
      </c>
      <c r="T43" s="78">
        <f>SUM(T30:T36)</f>
        <v/>
      </c>
    </row>
  </sheetData>
  <mergeCells count="19">
    <mergeCell ref="D39:G39"/>
    <mergeCell ref="D33:G33"/>
    <mergeCell ref="D29:G29"/>
    <mergeCell ref="D42:G42"/>
    <mergeCell ref="D38:G38"/>
    <mergeCell ref="S3:T3"/>
    <mergeCell ref="K28:N28"/>
    <mergeCell ref="D35:G35"/>
    <mergeCell ref="K3:N3"/>
    <mergeCell ref="O3:R3"/>
    <mergeCell ref="D34:G34"/>
    <mergeCell ref="I28:J28"/>
    <mergeCell ref="O28:R28"/>
    <mergeCell ref="S28:T28"/>
    <mergeCell ref="I3:J3"/>
    <mergeCell ref="D40:G40"/>
    <mergeCell ref="D36:G36"/>
    <mergeCell ref="D41:G41"/>
    <mergeCell ref="D37:G37"/>
  </mergeCells>
  <pageMargins left="0.7" right="0.7" top="0.75" bottom="0.75" header="0" footer="0"/>
  <pageSetup orientation="portrait"/>
</worksheet>
</file>

<file path=xl/worksheets/sheet15.xml><?xml version="1.0" encoding="utf-8"?>
<worksheet xmlns="http://schemas.openxmlformats.org/spreadsheetml/2006/main">
  <sheetPr>
    <tabColor rgb="FF00FF00"/>
    <outlinePr summaryBelow="1" summaryRight="1"/>
    <pageSetUpPr/>
  </sheetPr>
  <dimension ref="A1:Z996"/>
  <sheetViews>
    <sheetView showGridLines="0" zoomScale="80" zoomScaleNormal="80" workbookViewId="0">
      <selection activeCell="A1" sqref="A1"/>
    </sheetView>
  </sheetViews>
  <sheetFormatPr baseColWidth="8" defaultColWidth="14.42578125" defaultRowHeight="15" customHeight="1" outlineLevelRow="1"/>
  <cols>
    <col width="17.42578125" customWidth="1" style="802" min="1" max="1"/>
    <col width="46.28515625" customWidth="1" style="802" min="2" max="2"/>
    <col width="26" customWidth="1" style="802" min="3" max="4"/>
    <col width="17.140625" customWidth="1" style="802" min="5" max="7"/>
    <col width="50.42578125" customWidth="1" style="802" min="8" max="8"/>
    <col width="9.85546875" customWidth="1" style="802" min="9" max="20"/>
    <col width="7.85546875" customWidth="1" style="802" min="21" max="21"/>
    <col width="16.28515625" customWidth="1" style="802" min="22" max="22"/>
    <col width="18.28515625" customWidth="1" style="802" min="23" max="23"/>
    <col width="15.85546875" customWidth="1" style="802" min="24" max="24"/>
    <col width="17.5703125" customWidth="1" style="802" min="25" max="25"/>
    <col width="15.85546875" customWidth="1" style="802" min="26" max="29"/>
  </cols>
  <sheetData>
    <row r="1" ht="15" customHeight="1" s="802">
      <c r="A1" s="1" t="inlineStr">
        <is>
          <t xml:space="preserve">2. DELTA NON-TECH HC - CS, </t>
        </is>
      </c>
      <c r="B1" s="84" t="n"/>
    </row>
    <row r="2">
      <c r="B2" s="84" t="n"/>
      <c r="J2" s="28" t="n"/>
      <c r="K2" s="6" t="n"/>
      <c r="L2" s="28" t="n"/>
      <c r="M2" s="28" t="n"/>
      <c r="N2" s="28" t="n"/>
      <c r="O2" s="6" t="n"/>
      <c r="P2" s="28" t="n"/>
      <c r="Q2" s="28" t="n"/>
      <c r="R2" s="28" t="n"/>
      <c r="S2" s="6" t="n"/>
      <c r="T2" s="28" t="n"/>
      <c r="U2" s="28" t="n"/>
      <c r="V2" s="28" t="n"/>
    </row>
    <row r="3" ht="15" customHeight="1" s="802">
      <c r="A3" s="7" t="inlineStr">
        <is>
          <t>Headcount</t>
        </is>
      </c>
      <c r="B3" s="84" t="n"/>
      <c r="I3" s="1088" t="n">
        <v>2019</v>
      </c>
      <c r="J3" s="1089" t="n"/>
      <c r="K3" s="1090" t="n">
        <v>2020</v>
      </c>
      <c r="L3" s="1091" t="n"/>
      <c r="M3" s="1091" t="n"/>
      <c r="N3" s="1089" t="n"/>
      <c r="O3" s="1090" t="n">
        <v>2021</v>
      </c>
      <c r="P3" s="1091" t="n"/>
      <c r="Q3" s="1091" t="n"/>
      <c r="R3" s="1089" t="n"/>
      <c r="S3" s="1088" t="n">
        <v>2022</v>
      </c>
      <c r="T3" s="1089" t="n"/>
      <c r="U3" s="28" t="n"/>
      <c r="V3" s="28" t="n"/>
    </row>
    <row r="4" outlineLevel="1" s="802">
      <c r="A4" s="11" t="n"/>
      <c r="B4" s="88" t="n"/>
      <c r="C4" s="11" t="n"/>
      <c r="D4" s="11" t="n"/>
      <c r="E4" s="11" t="n"/>
      <c r="F4" s="11" t="n"/>
      <c r="G4" s="11" t="n"/>
      <c r="H4" s="11" t="n"/>
      <c r="I4" s="1092" t="n">
        <v>43647</v>
      </c>
      <c r="J4" s="1092" t="n">
        <v>43739</v>
      </c>
      <c r="K4" s="1092" t="n">
        <v>43831</v>
      </c>
      <c r="L4" s="1092" t="n">
        <v>43922</v>
      </c>
      <c r="M4" s="1092" t="n">
        <v>44013</v>
      </c>
      <c r="N4" s="1092" t="n">
        <v>44105</v>
      </c>
      <c r="O4" s="1092" t="n">
        <v>44197</v>
      </c>
      <c r="P4" s="1092" t="n">
        <v>44287</v>
      </c>
      <c r="Q4" s="1092" t="n">
        <v>44378</v>
      </c>
      <c r="R4" s="1092" t="n">
        <v>44470</v>
      </c>
      <c r="S4" s="1092" t="n">
        <v>44562</v>
      </c>
      <c r="T4" s="1092" t="n">
        <v>44652</v>
      </c>
      <c r="U4" s="28" t="n"/>
      <c r="V4" s="28" t="n"/>
    </row>
    <row r="5">
      <c r="A5" s="16" t="inlineStr">
        <is>
          <t>Submitted by</t>
        </is>
      </c>
      <c r="B5" s="90" t="inlineStr">
        <is>
          <t>Department</t>
        </is>
      </c>
      <c r="C5" s="16" t="inlineStr">
        <is>
          <t>TBH Title</t>
        </is>
      </c>
      <c r="D5" s="16" t="inlineStr">
        <is>
          <t>Description</t>
        </is>
      </c>
      <c r="E5" s="17" t="inlineStr">
        <is>
          <t>Hire Date</t>
        </is>
      </c>
      <c r="F5" s="17" t="n"/>
      <c r="G5" s="17" t="inlineStr">
        <is>
          <t>Location</t>
        </is>
      </c>
      <c r="H5" s="16" t="inlineStr">
        <is>
          <t>Base Salary Estimate USD</t>
        </is>
      </c>
      <c r="I5" s="25" t="inlineStr">
        <is>
          <t>Q3</t>
        </is>
      </c>
      <c r="J5" s="21" t="inlineStr">
        <is>
          <t>Q4</t>
        </is>
      </c>
      <c r="K5" s="23" t="inlineStr">
        <is>
          <t>Q1</t>
        </is>
      </c>
      <c r="L5" s="25" t="inlineStr">
        <is>
          <t>Q2</t>
        </is>
      </c>
      <c r="M5" s="25" t="inlineStr">
        <is>
          <t>Q3</t>
        </is>
      </c>
      <c r="N5" s="21" t="inlineStr">
        <is>
          <t>Q4</t>
        </is>
      </c>
      <c r="O5" s="23" t="inlineStr">
        <is>
          <t>Q1</t>
        </is>
      </c>
      <c r="P5" s="25" t="inlineStr">
        <is>
          <t>Q2</t>
        </is>
      </c>
      <c r="Q5" s="25" t="inlineStr">
        <is>
          <t>Q3</t>
        </is>
      </c>
      <c r="R5" s="21" t="inlineStr">
        <is>
          <t>Q4</t>
        </is>
      </c>
      <c r="S5" s="23" t="inlineStr">
        <is>
          <t>Q1</t>
        </is>
      </c>
      <c r="T5" s="25" t="inlineStr">
        <is>
          <t>Q2</t>
        </is>
      </c>
      <c r="V5" s="28" t="n"/>
      <c r="X5" s="28" t="n"/>
    </row>
    <row r="6">
      <c r="A6" s="77" t="n"/>
      <c r="B6" s="91" t="inlineStr">
        <is>
          <t xml:space="preserve">DELTA EXISTING NON-TECH HC </t>
        </is>
      </c>
      <c r="C6" s="92" t="n"/>
      <c r="D6" s="93" t="n"/>
      <c r="E6" s="93" t="n"/>
      <c r="F6" s="94" t="n"/>
      <c r="G6" s="94" t="n"/>
      <c r="H6" s="95" t="n"/>
      <c r="I6" s="1136" t="n"/>
      <c r="J6" s="1137" t="n"/>
      <c r="K6" s="1137" t="n"/>
      <c r="L6" s="1137" t="n"/>
      <c r="M6" s="1137" t="n"/>
      <c r="N6" s="1137" t="n"/>
      <c r="O6" s="1137" t="n"/>
      <c r="P6" s="1137" t="n"/>
      <c r="Q6" s="1137" t="n"/>
      <c r="R6" s="1137" t="n"/>
      <c r="S6" s="1137" t="n"/>
      <c r="T6" s="1137" t="n"/>
      <c r="U6" s="28" t="n"/>
      <c r="V6" s="28" t="n"/>
    </row>
    <row r="7">
      <c r="A7" s="77" t="n"/>
      <c r="B7" s="100" t="inlineStr">
        <is>
          <t xml:space="preserve">Lauren to populate the 9 non-tech existing Delta heads from blue HR dataroom folder: 9. Legal Emp. Docs. Retirement, Handbook, Emp. Contracts/Offer Letters, </t>
        </is>
      </c>
      <c r="C7" s="93" t="n"/>
      <c r="D7" s="93" t="n"/>
      <c r="E7" s="93" t="n"/>
      <c r="F7" s="93" t="n"/>
      <c r="G7" s="93" t="n"/>
      <c r="H7" s="47" t="inlineStr">
        <is>
          <t>Bob to Provide After Leveling mid next week (~Weds,  9/25)</t>
        </is>
      </c>
      <c r="I7" s="1136" t="n"/>
      <c r="J7" s="1137" t="n"/>
      <c r="K7" s="1137" t="n"/>
      <c r="L7" s="1137" t="n"/>
      <c r="M7" s="1137" t="n"/>
      <c r="N7" s="1137" t="n"/>
      <c r="O7" s="1137" t="n"/>
      <c r="P7" s="1137" t="n"/>
      <c r="Q7" s="1137" t="n"/>
      <c r="R7" s="1137" t="n"/>
      <c r="S7" s="1137" t="n"/>
      <c r="T7" s="1137" t="n"/>
      <c r="U7" s="28" t="n"/>
      <c r="V7" s="28" t="n"/>
    </row>
    <row r="8">
      <c r="A8" s="77" t="n"/>
      <c r="B8" s="100" t="inlineStr">
        <is>
          <t xml:space="preserve">Lauren to populate the 9 non-tech existing Delta heads from blue HR dataroom folder: 9. Legal Emp. Docs. Retirement, Handbook, Emp. Contracts/Offer Letters, </t>
        </is>
      </c>
      <c r="C8" s="93" t="n"/>
      <c r="D8" s="93" t="n"/>
      <c r="E8" s="93" t="n"/>
      <c r="F8" s="93" t="n"/>
      <c r="G8" s="93" t="n"/>
      <c r="H8" s="47" t="inlineStr">
        <is>
          <t>Bob to Provide After Leveling mid next week (~Weds,  9/25)</t>
        </is>
      </c>
      <c r="I8" s="1136" t="n"/>
      <c r="J8" s="1137" t="n"/>
      <c r="K8" s="1137" t="n"/>
      <c r="L8" s="1137" t="n"/>
      <c r="M8" s="1137" t="n"/>
      <c r="N8" s="1137" t="n"/>
      <c r="O8" s="1137" t="n"/>
      <c r="P8" s="1137" t="n"/>
      <c r="Q8" s="1137" t="n"/>
      <c r="R8" s="1137" t="n"/>
      <c r="S8" s="1137" t="n"/>
      <c r="T8" s="1137" t="n"/>
      <c r="U8" s="28" t="n"/>
      <c r="V8" s="28" t="n"/>
    </row>
    <row r="9">
      <c r="A9" s="77" t="n"/>
      <c r="B9" s="100" t="inlineStr">
        <is>
          <t xml:space="preserve">Lauren to populate the 9 non-tech existing Delta heads from blue HR dataroom folder: 9. Legal Emp. Docs. Retirement, Handbook, Emp. Contracts/Offer Letters, </t>
        </is>
      </c>
      <c r="C9" s="93" t="n"/>
      <c r="D9" s="93" t="n"/>
      <c r="E9" s="93" t="n"/>
      <c r="F9" s="93" t="n"/>
      <c r="G9" s="93" t="n"/>
      <c r="H9" s="47" t="inlineStr">
        <is>
          <t>Bob to Provide After Leveling mid next week (~Weds,  9/25)</t>
        </is>
      </c>
      <c r="I9" s="1136" t="n"/>
      <c r="J9" s="1137" t="n"/>
      <c r="K9" s="1137" t="n"/>
      <c r="L9" s="1137" t="n"/>
      <c r="M9" s="1137" t="n"/>
      <c r="N9" s="1137" t="n"/>
      <c r="O9" s="1137" t="n"/>
      <c r="P9" s="1137" t="n"/>
      <c r="Q9" s="1137" t="n"/>
      <c r="R9" s="1137" t="n"/>
      <c r="S9" s="1137" t="n"/>
      <c r="T9" s="1137" t="n"/>
      <c r="U9" s="28" t="n"/>
      <c r="V9" s="28" t="n"/>
    </row>
    <row r="10">
      <c r="A10" s="77" t="n"/>
      <c r="B10" s="100" t="inlineStr">
        <is>
          <t xml:space="preserve">Lauren to populate the 9 non-tech existing Delta heads from blue HR dataroom folder: 9. Legal Emp. Docs. Retirement, Handbook, Emp. Contracts/Offer Letters, </t>
        </is>
      </c>
      <c r="C10" s="93" t="n"/>
      <c r="D10" s="93" t="n"/>
      <c r="E10" s="93" t="n"/>
      <c r="F10" s="93" t="n"/>
      <c r="G10" s="93" t="n"/>
      <c r="H10" s="47" t="inlineStr">
        <is>
          <t>Bob to Provide After Leveling mid next week (~Weds,  9/25)</t>
        </is>
      </c>
      <c r="I10" s="1136" t="n"/>
      <c r="J10" s="1137" t="n"/>
      <c r="K10" s="1137" t="n"/>
      <c r="L10" s="1137" t="n"/>
      <c r="M10" s="1137" t="n"/>
      <c r="N10" s="1137" t="n"/>
      <c r="O10" s="1137" t="n"/>
      <c r="P10" s="1137" t="n"/>
      <c r="Q10" s="1137" t="n"/>
      <c r="R10" s="1137" t="n"/>
      <c r="S10" s="1137" t="n"/>
      <c r="T10" s="1137" t="n"/>
      <c r="U10" s="28" t="n"/>
      <c r="V10" s="28" t="n"/>
    </row>
    <row r="11">
      <c r="A11" s="77" t="n"/>
      <c r="B11" s="100" t="inlineStr">
        <is>
          <t xml:space="preserve">Lauren to populate the 9 non-tech existing Delta heads from blue HR dataroom folder: 9. Legal Emp. Docs. Retirement, Handbook, Emp. Contracts/Offer Letters, </t>
        </is>
      </c>
      <c r="C11" s="93" t="n"/>
      <c r="D11" s="93" t="n"/>
      <c r="E11" s="93" t="n"/>
      <c r="F11" s="93" t="n"/>
      <c r="G11" s="93" t="n"/>
      <c r="H11" s="47" t="inlineStr">
        <is>
          <t>Bob to Provide After Leveling mid next week (~Weds,  9/25)</t>
        </is>
      </c>
      <c r="I11" s="1136" t="n"/>
      <c r="J11" s="1137" t="n"/>
      <c r="K11" s="1137" t="n"/>
      <c r="L11" s="1137" t="n"/>
      <c r="M11" s="1137" t="n"/>
      <c r="N11" s="1137" t="n"/>
      <c r="O11" s="1137" t="n"/>
      <c r="P11" s="1137" t="n"/>
      <c r="Q11" s="1137" t="n"/>
      <c r="R11" s="1137" t="n"/>
      <c r="S11" s="1137" t="n"/>
      <c r="T11" s="1137" t="n"/>
      <c r="U11" s="28" t="n"/>
      <c r="V11" s="28" t="n"/>
    </row>
    <row r="12">
      <c r="A12" s="49" t="inlineStr"/>
      <c r="B12" s="100" t="inlineStr">
        <is>
          <t xml:space="preserve">Lauren to populate the 9 non-tech existing Delta heads from blue HR dataroom folder: 9. Legal Emp. Docs. Retirement, Handbook, Emp. Contracts/Offer Letters, </t>
        </is>
      </c>
      <c r="C12" s="48" t="n"/>
      <c r="D12" s="48" t="n"/>
      <c r="E12" s="48" t="n"/>
      <c r="F12" s="48" t="n"/>
      <c r="G12" s="48" t="n"/>
      <c r="H12" s="48" t="n"/>
      <c r="I12" s="1136" t="n"/>
      <c r="J12" s="1137" t="n"/>
      <c r="K12" s="1137" t="n"/>
      <c r="L12" s="1137" t="n"/>
      <c r="M12" s="1137" t="n"/>
      <c r="N12" s="1137" t="n"/>
      <c r="O12" s="1137" t="n"/>
      <c r="P12" s="1137" t="n"/>
      <c r="Q12" s="1137" t="n"/>
      <c r="R12" s="1137" t="n"/>
      <c r="S12" s="1137" t="n"/>
      <c r="T12" s="1137" t="n"/>
      <c r="U12" s="28" t="n"/>
      <c r="V12" s="28" t="n"/>
    </row>
    <row r="13">
      <c r="B13" s="100" t="inlineStr">
        <is>
          <t xml:space="preserve">Lauren to populate the 9 non-tech existing Delta heads from blue HR dataroom folder: 9. Legal Emp. Docs. Retirement, Handbook, Emp. Contracts/Offer Letters, </t>
        </is>
      </c>
      <c r="I13" s="1097">
        <f>SUM(I6:I12)</f>
        <v/>
      </c>
      <c r="J13" s="1098">
        <f>SUM(J6:J12)</f>
        <v/>
      </c>
      <c r="K13" s="1098">
        <f>SUM(K6:K12)</f>
        <v/>
      </c>
      <c r="L13" s="1098">
        <f>SUM(L6:L12)</f>
        <v/>
      </c>
      <c r="M13" s="1098">
        <f>SUM(M6:M12)</f>
        <v/>
      </c>
      <c r="N13" s="1098">
        <f>SUM(N6:N12)</f>
        <v/>
      </c>
      <c r="O13" s="1098">
        <f>SUM(O6:O12)</f>
        <v/>
      </c>
      <c r="P13" s="1098">
        <f>SUM(P6:P12)</f>
        <v/>
      </c>
      <c r="Q13" s="1098">
        <f>SUM(Q6:Q12)</f>
        <v/>
      </c>
      <c r="R13" s="1098">
        <f>SUM(R6:R12)</f>
        <v/>
      </c>
      <c r="S13" s="1098">
        <f>SUM(S6:S12)</f>
        <v/>
      </c>
      <c r="T13" s="1098">
        <f>SUM(T6:T12)</f>
        <v/>
      </c>
      <c r="U13" s="53" t="n"/>
      <c r="V13" s="53" t="n"/>
      <c r="W13" s="53" t="n"/>
      <c r="X13" s="53" t="n"/>
      <c r="Y13" s="53" t="n"/>
      <c r="Z13" s="53" t="n"/>
    </row>
    <row r="14">
      <c r="B14" s="100" t="inlineStr">
        <is>
          <t xml:space="preserve">Lauren to populate the 9 non-tech existing Delta heads from blue HR dataroom folder: 9. Legal Emp. Docs. Retirement, Handbook, Emp. Contracts/Offer Letters, </t>
        </is>
      </c>
      <c r="C14" s="28" t="n"/>
      <c r="D14" s="28" t="n"/>
      <c r="E14" s="28" t="n"/>
      <c r="F14" s="28" t="n"/>
      <c r="G14" s="28" t="n"/>
      <c r="H14" s="28" t="n"/>
      <c r="I14" s="28" t="n"/>
      <c r="J14" s="28" t="n"/>
      <c r="K14" s="28" t="n"/>
      <c r="L14" s="28" t="n"/>
      <c r="M14" s="28" t="n"/>
      <c r="N14" s="28" t="n"/>
      <c r="O14" s="28" t="n"/>
      <c r="P14" s="28" t="n"/>
      <c r="Q14" s="28" t="n"/>
      <c r="R14" s="28" t="n"/>
      <c r="S14" s="28" t="n"/>
      <c r="T14" s="28" t="n"/>
    </row>
    <row r="15" ht="15" customHeight="1" s="802">
      <c r="A15" s="7" t="inlineStr">
        <is>
          <t>Non Headcount</t>
        </is>
      </c>
      <c r="B15" s="100" t="inlineStr">
        <is>
          <t xml:space="preserve">Lauren to populate the 9 non-tech existing Delta heads from blue HR dataroom folder: 9. Legal Emp. Docs. Retirement, Handbook, Emp. Contracts/Offer Letters, </t>
        </is>
      </c>
      <c r="C15" s="28" t="n"/>
      <c r="D15" s="28" t="n"/>
      <c r="E15" s="28" t="n"/>
      <c r="F15" s="28" t="n"/>
      <c r="G15" s="28" t="n"/>
      <c r="H15" s="28" t="n"/>
      <c r="I15" s="1088" t="n">
        <v>2019</v>
      </c>
      <c r="J15" s="1089" t="n"/>
      <c r="K15" s="1090" t="n">
        <v>2020</v>
      </c>
      <c r="L15" s="1091" t="n"/>
      <c r="M15" s="1091" t="n"/>
      <c r="N15" s="1089" t="n"/>
      <c r="O15" s="1090" t="n">
        <v>2021</v>
      </c>
      <c r="P15" s="1091" t="n"/>
      <c r="Q15" s="1091" t="n"/>
      <c r="R15" s="1089" t="n"/>
      <c r="S15" s="1088" t="n">
        <v>2022</v>
      </c>
      <c r="T15" s="1089" t="n"/>
    </row>
    <row r="16">
      <c r="A16" s="54" t="inlineStr">
        <is>
          <t>Submitted by</t>
        </is>
      </c>
      <c r="B16" s="110" t="inlineStr">
        <is>
          <t>Department</t>
        </is>
      </c>
      <c r="C16" s="54" t="inlineStr">
        <is>
          <t>Description of Spend</t>
        </is>
      </c>
      <c r="D16" s="1099" t="inlineStr">
        <is>
          <t>Justification</t>
        </is>
      </c>
      <c r="H16" s="55" t="inlineStr">
        <is>
          <t>Total Cost Estimate</t>
        </is>
      </c>
      <c r="I16" s="18" t="inlineStr">
        <is>
          <t>Q3</t>
        </is>
      </c>
      <c r="J16" s="26" t="inlineStr">
        <is>
          <t>Q4</t>
        </is>
      </c>
      <c r="K16" s="22" t="inlineStr">
        <is>
          <t>Q1</t>
        </is>
      </c>
      <c r="L16" s="18" t="inlineStr">
        <is>
          <t>Q2</t>
        </is>
      </c>
      <c r="M16" s="18" t="inlineStr">
        <is>
          <t>Q3</t>
        </is>
      </c>
      <c r="N16" s="26" t="inlineStr">
        <is>
          <t>Q4</t>
        </is>
      </c>
      <c r="O16" s="22" t="inlineStr">
        <is>
          <t>Q1</t>
        </is>
      </c>
      <c r="P16" s="18" t="inlineStr">
        <is>
          <t>Q2</t>
        </is>
      </c>
      <c r="Q16" s="18" t="inlineStr">
        <is>
          <t>Q3</t>
        </is>
      </c>
      <c r="R16" s="26" t="inlineStr">
        <is>
          <t>Q4</t>
        </is>
      </c>
      <c r="S16" s="22" t="inlineStr">
        <is>
          <t>Q1</t>
        </is>
      </c>
      <c r="T16" s="18" t="inlineStr">
        <is>
          <t>Q2</t>
        </is>
      </c>
    </row>
    <row r="17">
      <c r="A17" s="77" t="n"/>
      <c r="B17" s="119" t="n"/>
      <c r="C17" s="77" t="n"/>
      <c r="D17" s="77" t="n"/>
      <c r="E17" s="1103" t="n"/>
      <c r="F17" s="1103" t="n"/>
      <c r="G17" s="1104" t="n"/>
      <c r="H17" s="1105" t="n"/>
      <c r="I17" s="1101" t="n"/>
      <c r="J17" s="1101" t="n"/>
      <c r="K17" s="1101" t="n"/>
      <c r="L17" s="1101" t="n"/>
      <c r="M17" s="1101" t="n"/>
      <c r="N17" s="1101" t="n"/>
      <c r="O17" s="1101" t="n"/>
      <c r="P17" s="1101" t="n"/>
      <c r="Q17" s="1101" t="n"/>
      <c r="R17" s="1101" t="n"/>
      <c r="S17" s="1101" t="n"/>
      <c r="T17" s="1101" t="n"/>
    </row>
    <row r="18">
      <c r="A18" s="77" t="inlineStr">
        <is>
          <t>Ryan Krems</t>
        </is>
      </c>
      <c r="B18" s="119" t="inlineStr">
        <is>
          <t>Product</t>
        </is>
      </c>
      <c r="C18" s="77" t="inlineStr">
        <is>
          <t>Recruiting Budget</t>
        </is>
      </c>
      <c r="D18" s="77" t="inlineStr">
        <is>
          <t>Need to get new-hires on-board - 2months of average salary to be added once get average salary</t>
        </is>
      </c>
      <c r="E18" s="1103" t="n"/>
      <c r="F18" s="1103" t="n"/>
      <c r="G18" s="1104" t="n"/>
      <c r="H18" s="1100" t="n"/>
      <c r="I18" s="1101" t="n"/>
      <c r="J18" s="1102" t="n"/>
      <c r="K18" s="1102" t="n"/>
      <c r="L18" s="1102" t="n"/>
      <c r="M18" s="1102" t="n"/>
      <c r="N18" s="1102" t="n"/>
      <c r="O18" s="1102" t="n"/>
      <c r="P18" s="1102" t="n"/>
      <c r="Q18" s="1102" t="n"/>
      <c r="R18" s="1102" t="n"/>
      <c r="S18" s="1102" t="n"/>
      <c r="T18" s="1102" t="n"/>
    </row>
    <row r="19">
      <c r="A19" s="77" t="n"/>
      <c r="B19" s="119" t="n"/>
      <c r="C19" s="77" t="n"/>
      <c r="D19" s="77" t="n"/>
      <c r="E19" s="1103" t="n"/>
      <c r="F19" s="1103" t="n"/>
      <c r="G19" s="1104" t="n"/>
      <c r="H19" s="1100" t="n"/>
      <c r="I19" s="1101" t="n"/>
      <c r="J19" s="1106" t="n"/>
      <c r="K19" s="1102" t="n"/>
      <c r="L19" s="1102" t="n"/>
      <c r="M19" s="1102" t="n"/>
      <c r="N19" s="1102" t="n"/>
      <c r="O19" s="1102" t="n"/>
      <c r="P19" s="1102" t="n"/>
      <c r="Q19" s="1102" t="n"/>
      <c r="R19" s="1102" t="n"/>
      <c r="S19" s="1102" t="n"/>
      <c r="T19" s="1102" t="n"/>
    </row>
    <row r="20">
      <c r="A20" s="77" t="n"/>
      <c r="B20" s="119" t="n"/>
      <c r="C20" s="77" t="n"/>
      <c r="D20" s="77" t="n"/>
      <c r="E20" s="1103" t="n"/>
      <c r="F20" s="1103" t="n"/>
      <c r="G20" s="1104" t="n"/>
      <c r="H20" s="1100" t="n"/>
      <c r="I20" s="1101" t="n"/>
      <c r="J20" s="1106" t="n"/>
      <c r="K20" s="1102" t="n"/>
      <c r="L20" s="1102" t="n"/>
      <c r="M20" s="1102" t="n"/>
      <c r="N20" s="1102" t="n"/>
      <c r="O20" s="1102" t="n"/>
      <c r="P20" s="1102" t="n"/>
      <c r="Q20" s="1102" t="n"/>
      <c r="R20" s="1102" t="n"/>
      <c r="S20" s="1102" t="n"/>
      <c r="T20" s="1102" t="n"/>
    </row>
    <row r="21">
      <c r="A21" s="77" t="n"/>
      <c r="B21" s="119" t="n"/>
      <c r="C21" s="77" t="n"/>
      <c r="D21" s="77" t="n"/>
      <c r="E21" s="1103" t="n"/>
      <c r="F21" s="1103" t="n"/>
      <c r="G21" s="1104" t="n"/>
      <c r="H21" s="1100" t="n"/>
      <c r="I21" s="1101" t="n"/>
      <c r="J21" s="1106" t="n"/>
      <c r="K21" s="1102" t="n"/>
      <c r="L21" s="1102" t="n"/>
      <c r="M21" s="1102" t="n"/>
      <c r="N21" s="1102" t="n"/>
      <c r="O21" s="1102" t="n"/>
      <c r="P21" s="1102" t="n"/>
      <c r="Q21" s="1102" t="n"/>
      <c r="R21" s="1102" t="n"/>
      <c r="S21" s="1102" t="n"/>
      <c r="T21" s="1102" t="n"/>
    </row>
    <row r="22">
      <c r="A22" s="77" t="n"/>
      <c r="B22" s="119" t="n"/>
      <c r="C22" s="77" t="n"/>
      <c r="D22" s="77" t="n"/>
      <c r="E22" s="1103" t="n"/>
      <c r="F22" s="1103" t="n"/>
      <c r="G22" s="1104" t="n"/>
      <c r="H22" s="1100" t="n"/>
      <c r="I22" s="1101" t="n"/>
      <c r="J22" s="1106" t="n"/>
      <c r="K22" s="1102" t="n"/>
      <c r="L22" s="1102" t="n"/>
      <c r="M22" s="1102" t="n"/>
      <c r="N22" s="1102" t="n"/>
      <c r="O22" s="1102" t="n"/>
      <c r="P22" s="1102" t="n"/>
      <c r="Q22" s="1102" t="n"/>
      <c r="R22" s="1102" t="n"/>
      <c r="S22" s="1102" t="n"/>
      <c r="T22" s="1102" t="n"/>
    </row>
    <row r="23">
      <c r="A23" s="77" t="n"/>
      <c r="B23" s="119" t="n"/>
      <c r="C23" s="60" t="n"/>
      <c r="D23" s="77" t="n"/>
      <c r="E23" s="1103" t="n"/>
      <c r="F23" s="1103" t="n"/>
      <c r="G23" s="1104" t="n"/>
      <c r="H23" s="1100" t="n"/>
      <c r="I23" s="1107" t="n"/>
      <c r="J23" s="1102" t="n"/>
      <c r="K23" s="1102" t="n"/>
      <c r="L23" s="1102" t="n"/>
      <c r="M23" s="1102" t="n"/>
      <c r="N23" s="1102" t="n"/>
      <c r="O23" s="1102" t="n"/>
      <c r="P23" s="1102" t="n"/>
      <c r="Q23" s="1102" t="n"/>
      <c r="R23" s="1102" t="n"/>
      <c r="S23" s="1102" t="n"/>
      <c r="T23" s="1102" t="n"/>
    </row>
    <row r="24">
      <c r="A24" s="77" t="n"/>
      <c r="B24" s="119" t="n"/>
      <c r="C24" s="60" t="n"/>
      <c r="D24" s="77" t="n"/>
      <c r="E24" s="1103" t="n"/>
      <c r="F24" s="1103" t="n"/>
      <c r="G24" s="1104" t="n"/>
      <c r="H24" s="1100" t="n"/>
      <c r="I24" s="1107" t="n"/>
      <c r="J24" s="1102" t="n"/>
      <c r="K24" s="1102" t="n"/>
      <c r="L24" s="1102" t="n"/>
      <c r="M24" s="1102" t="n"/>
      <c r="N24" s="1102" t="n"/>
      <c r="O24" s="1102" t="n"/>
      <c r="P24" s="1102" t="n"/>
      <c r="Q24" s="1102" t="n"/>
      <c r="R24" s="1102" t="n"/>
      <c r="S24" s="1102" t="n"/>
      <c r="T24" s="1102" t="n"/>
    </row>
    <row r="25">
      <c r="A25" s="77" t="n"/>
      <c r="B25" s="119" t="n"/>
      <c r="C25" s="60" t="n"/>
      <c r="D25" s="77" t="n"/>
      <c r="E25" s="1103" t="n"/>
      <c r="F25" s="1103" t="n"/>
      <c r="G25" s="1104" t="n"/>
      <c r="H25" s="1100" t="n"/>
      <c r="I25" s="1107" t="n"/>
      <c r="J25" s="1102" t="n"/>
      <c r="K25" s="1102" t="n"/>
      <c r="L25" s="1102" t="n"/>
      <c r="M25" s="1102" t="n"/>
      <c r="N25" s="1102" t="n"/>
      <c r="O25" s="1102" t="n"/>
      <c r="P25" s="1102" t="n"/>
      <c r="Q25" s="1102" t="n"/>
      <c r="R25" s="1102" t="n"/>
      <c r="S25" s="1102" t="n"/>
      <c r="T25" s="1102" t="n"/>
    </row>
    <row r="26">
      <c r="A26" s="77" t="n"/>
      <c r="B26" s="119" t="n"/>
      <c r="C26" s="77" t="n"/>
      <c r="D26" s="77" t="n"/>
      <c r="E26" s="1103" t="n"/>
      <c r="F26" s="1103" t="n"/>
      <c r="G26" s="1104" t="n"/>
      <c r="H26" s="1100" t="n"/>
      <c r="I26" s="1107" t="n"/>
      <c r="J26" s="1102" t="n"/>
      <c r="K26" s="1102" t="n"/>
      <c r="L26" s="1102" t="n"/>
      <c r="M26" s="1102" t="n"/>
      <c r="N26" s="1102" t="n"/>
      <c r="O26" s="1102" t="n"/>
      <c r="P26" s="1102" t="n"/>
      <c r="Q26" s="1102" t="n"/>
      <c r="R26" s="1102" t="n"/>
      <c r="S26" s="1102" t="n"/>
      <c r="T26" s="1102" t="n"/>
    </row>
    <row r="27">
      <c r="A27" s="77" t="n"/>
      <c r="B27" s="119" t="n"/>
      <c r="C27" s="77" t="n"/>
      <c r="D27" s="77" t="n"/>
      <c r="E27" s="1103" t="n"/>
      <c r="F27" s="1103" t="n"/>
      <c r="G27" s="1104" t="n"/>
      <c r="H27" s="1100" t="n"/>
      <c r="I27" s="1101" t="n"/>
      <c r="J27" s="1106" t="n"/>
      <c r="K27" s="1106" t="n"/>
      <c r="L27" s="1106" t="n"/>
      <c r="M27" s="1106" t="n"/>
      <c r="N27" s="1106" t="n"/>
      <c r="O27" s="1106" t="n"/>
      <c r="P27" s="1106" t="n"/>
      <c r="Q27" s="1106" t="n"/>
      <c r="R27" s="1106" t="n"/>
      <c r="S27" s="1106" t="n"/>
      <c r="T27" s="1106" t="n"/>
    </row>
    <row r="28">
      <c r="A28" s="77" t="n"/>
      <c r="B28" s="119" t="n"/>
      <c r="C28" s="77" t="n"/>
      <c r="D28" s="77" t="n"/>
      <c r="E28" s="1103" t="n"/>
      <c r="F28" s="1103" t="n"/>
      <c r="G28" s="1104" t="n"/>
      <c r="H28" s="1108" t="n"/>
      <c r="I28" s="1109" t="n"/>
      <c r="J28" s="1110" t="n"/>
      <c r="K28" s="1110" t="n"/>
      <c r="L28" s="1110" t="n"/>
      <c r="M28" s="1110" t="n"/>
      <c r="N28" s="1110" t="n"/>
      <c r="O28" s="1110" t="n"/>
      <c r="P28" s="1110" t="n"/>
      <c r="Q28" s="1110" t="n"/>
      <c r="R28" s="1110" t="n"/>
      <c r="S28" s="1110" t="n"/>
      <c r="T28" s="1110" t="n"/>
    </row>
    <row r="29">
      <c r="B29" s="84" t="n"/>
      <c r="H29" s="1111">
        <f>SUM(H17:H28)</f>
        <v/>
      </c>
      <c r="I29" s="1112">
        <f>SUM(I17:I22)</f>
        <v/>
      </c>
      <c r="J29" s="1111">
        <f>SUM(J17:J22)</f>
        <v/>
      </c>
      <c r="K29" s="1111">
        <f>SUM(K17:K22)</f>
        <v/>
      </c>
      <c r="L29" s="1111">
        <f>SUM(L17:L22)</f>
        <v/>
      </c>
      <c r="M29" s="1111">
        <f>SUM(M17:M22)</f>
        <v/>
      </c>
      <c r="N29" s="1111">
        <f>SUM(N17:N22)</f>
        <v/>
      </c>
      <c r="O29" s="1111">
        <f>SUM(O17:O22)</f>
        <v/>
      </c>
      <c r="P29" s="1111">
        <f>SUM(P17:P22)</f>
        <v/>
      </c>
      <c r="Q29" s="1111">
        <f>SUM(Q17:Q22)</f>
        <v/>
      </c>
      <c r="R29" s="1111">
        <f>SUM(R17:R22)</f>
        <v/>
      </c>
      <c r="S29" s="1111">
        <f>SUM(S17:S22)</f>
        <v/>
      </c>
      <c r="T29" s="1111">
        <f>SUM(T17:T22)</f>
        <v/>
      </c>
    </row>
    <row r="30">
      <c r="B30" s="84" t="n"/>
    </row>
    <row r="31">
      <c r="B31" s="84" t="n"/>
    </row>
    <row r="32">
      <c r="B32" s="84" t="n"/>
    </row>
    <row r="33">
      <c r="B33" s="84" t="n"/>
    </row>
    <row r="34">
      <c r="B34" s="84" t="n"/>
    </row>
    <row r="35">
      <c r="B35" s="84" t="n"/>
    </row>
    <row r="36">
      <c r="B36" s="84" t="n"/>
    </row>
    <row r="37">
      <c r="B37" s="84" t="n"/>
    </row>
    <row r="38">
      <c r="B38" s="84" t="n"/>
    </row>
    <row r="39">
      <c r="B39" s="84" t="n"/>
    </row>
    <row r="40">
      <c r="B40" s="84" t="n"/>
    </row>
    <row r="41">
      <c r="B41" s="84" t="n"/>
    </row>
    <row r="42">
      <c r="B42" s="84" t="n"/>
    </row>
    <row r="43">
      <c r="B43" s="84" t="n"/>
    </row>
    <row r="44">
      <c r="B44" s="84" t="n"/>
    </row>
    <row r="45">
      <c r="B45" s="84" t="n"/>
    </row>
    <row r="46">
      <c r="B46" s="84" t="n"/>
    </row>
    <row r="47">
      <c r="B47" s="84" t="n"/>
    </row>
    <row r="48">
      <c r="B48" s="84" t="n"/>
    </row>
    <row r="49">
      <c r="B49" s="84" t="n"/>
    </row>
    <row r="50">
      <c r="B50" s="84" t="n"/>
    </row>
    <row r="51">
      <c r="B51" s="84" t="n"/>
    </row>
    <row r="52">
      <c r="B52" s="84" t="n"/>
    </row>
    <row r="53">
      <c r="B53" s="84" t="n"/>
    </row>
    <row r="54">
      <c r="B54" s="84" t="n"/>
    </row>
    <row r="55">
      <c r="B55" s="84" t="n"/>
    </row>
    <row r="56">
      <c r="B56" s="84" t="n"/>
    </row>
    <row r="57">
      <c r="B57" s="84" t="n"/>
    </row>
    <row r="58">
      <c r="B58" s="84" t="n"/>
    </row>
    <row r="59">
      <c r="B59" s="84" t="n"/>
    </row>
    <row r="60">
      <c r="B60" s="84" t="n"/>
    </row>
    <row r="61">
      <c r="B61" s="84" t="n"/>
    </row>
    <row r="62">
      <c r="B62" s="84" t="n"/>
    </row>
    <row r="63">
      <c r="B63" s="84" t="n"/>
    </row>
    <row r="64">
      <c r="B64" s="84" t="n"/>
    </row>
    <row r="65">
      <c r="B65" s="84" t="n"/>
    </row>
    <row r="66">
      <c r="B66" s="84" t="n"/>
    </row>
    <row r="67">
      <c r="B67" s="84" t="n"/>
    </row>
    <row r="68">
      <c r="B68" s="84" t="n"/>
    </row>
    <row r="69">
      <c r="B69" s="84" t="n"/>
    </row>
    <row r="70">
      <c r="B70" s="84" t="n"/>
    </row>
    <row r="71">
      <c r="B71" s="84" t="n"/>
    </row>
    <row r="72">
      <c r="B72" s="84" t="n"/>
    </row>
    <row r="73">
      <c r="B73" s="84" t="n"/>
    </row>
    <row r="74">
      <c r="B74" s="84" t="n"/>
    </row>
    <row r="75">
      <c r="B75" s="84" t="n"/>
    </row>
    <row r="76">
      <c r="B76" s="84" t="n"/>
    </row>
    <row r="77">
      <c r="B77" s="84" t="n"/>
    </row>
    <row r="78">
      <c r="B78" s="84" t="n"/>
    </row>
    <row r="79">
      <c r="B79" s="84" t="n"/>
    </row>
    <row r="80">
      <c r="B80" s="84" t="n"/>
    </row>
    <row r="81">
      <c r="B81" s="84" t="n"/>
    </row>
    <row r="82">
      <c r="B82" s="84" t="n"/>
    </row>
    <row r="83">
      <c r="B83" s="84" t="n"/>
    </row>
    <row r="84">
      <c r="B84" s="84" t="n"/>
    </row>
    <row r="85">
      <c r="B85" s="84" t="n"/>
    </row>
    <row r="86">
      <c r="B86" s="84" t="n"/>
    </row>
    <row r="87">
      <c r="B87" s="84" t="n"/>
    </row>
    <row r="88">
      <c r="B88" s="84" t="n"/>
    </row>
    <row r="89">
      <c r="B89" s="84" t="n"/>
    </row>
    <row r="90">
      <c r="B90" s="84" t="n"/>
    </row>
    <row r="91">
      <c r="B91" s="84" t="n"/>
    </row>
    <row r="92">
      <c r="B92" s="84" t="n"/>
    </row>
    <row r="93">
      <c r="B93" s="84" t="n"/>
    </row>
    <row r="94">
      <c r="B94" s="84" t="n"/>
    </row>
    <row r="95">
      <c r="B95" s="84" t="n"/>
    </row>
    <row r="96">
      <c r="B96" s="84" t="n"/>
    </row>
    <row r="97">
      <c r="B97" s="84" t="n"/>
    </row>
    <row r="98">
      <c r="B98" s="84" t="n"/>
    </row>
    <row r="99">
      <c r="B99" s="84" t="n"/>
    </row>
    <row r="100">
      <c r="B100" s="84" t="n"/>
    </row>
    <row r="101">
      <c r="B101" s="84" t="n"/>
    </row>
    <row r="102">
      <c r="B102" s="84" t="n"/>
    </row>
    <row r="103">
      <c r="B103" s="84" t="n"/>
    </row>
    <row r="104">
      <c r="B104" s="84" t="n"/>
    </row>
    <row r="105">
      <c r="B105" s="84" t="n"/>
    </row>
    <row r="106">
      <c r="B106" s="84" t="n"/>
    </row>
    <row r="107">
      <c r="B107" s="84" t="n"/>
    </row>
    <row r="108">
      <c r="B108" s="84" t="n"/>
    </row>
    <row r="109">
      <c r="B109" s="84" t="n"/>
    </row>
    <row r="110">
      <c r="B110" s="84" t="n"/>
    </row>
    <row r="111">
      <c r="B111" s="84" t="n"/>
    </row>
    <row r="112">
      <c r="B112" s="84" t="n"/>
    </row>
    <row r="113">
      <c r="B113" s="84" t="n"/>
    </row>
    <row r="114">
      <c r="B114" s="84" t="n"/>
    </row>
    <row r="115">
      <c r="B115" s="84" t="n"/>
    </row>
    <row r="116">
      <c r="B116" s="84" t="n"/>
    </row>
    <row r="117">
      <c r="B117" s="84" t="n"/>
    </row>
    <row r="118">
      <c r="B118" s="84" t="n"/>
    </row>
    <row r="119">
      <c r="B119" s="84" t="n"/>
    </row>
    <row r="120">
      <c r="B120" s="84" t="n"/>
    </row>
    <row r="121">
      <c r="B121" s="84" t="n"/>
    </row>
    <row r="122">
      <c r="B122" s="84" t="n"/>
    </row>
    <row r="123">
      <c r="B123" s="84" t="n"/>
    </row>
    <row r="124">
      <c r="B124" s="84" t="n"/>
    </row>
    <row r="125">
      <c r="B125" s="84" t="n"/>
    </row>
    <row r="126">
      <c r="B126" s="84" t="n"/>
    </row>
    <row r="127">
      <c r="B127" s="84" t="n"/>
    </row>
    <row r="128">
      <c r="B128" s="84" t="n"/>
    </row>
    <row r="129">
      <c r="B129" s="84" t="n"/>
    </row>
    <row r="130">
      <c r="B130" s="84" t="n"/>
    </row>
    <row r="131">
      <c r="B131" s="84" t="n"/>
    </row>
    <row r="132">
      <c r="B132" s="84" t="n"/>
    </row>
    <row r="133">
      <c r="B133" s="84" t="n"/>
    </row>
    <row r="134">
      <c r="B134" s="84" t="n"/>
    </row>
    <row r="135">
      <c r="B135" s="84" t="n"/>
    </row>
    <row r="136">
      <c r="B136" s="84" t="n"/>
    </row>
    <row r="137">
      <c r="B137" s="84" t="n"/>
    </row>
    <row r="138">
      <c r="B138" s="84" t="n"/>
    </row>
    <row r="139">
      <c r="B139" s="84" t="n"/>
    </row>
    <row r="140">
      <c r="B140" s="84" t="n"/>
    </row>
    <row r="141">
      <c r="B141" s="84" t="n"/>
    </row>
    <row r="142">
      <c r="B142" s="84" t="n"/>
    </row>
    <row r="143">
      <c r="B143" s="84" t="n"/>
    </row>
    <row r="144">
      <c r="B144" s="84" t="n"/>
    </row>
    <row r="145">
      <c r="B145" s="84" t="n"/>
    </row>
    <row r="146">
      <c r="B146" s="84" t="n"/>
    </row>
    <row r="147">
      <c r="B147" s="84" t="n"/>
    </row>
    <row r="148">
      <c r="B148" s="84" t="n"/>
    </row>
    <row r="149">
      <c r="B149" s="84" t="n"/>
    </row>
    <row r="150">
      <c r="B150" s="84" t="n"/>
    </row>
    <row r="151">
      <c r="B151" s="84" t="n"/>
    </row>
    <row r="152">
      <c r="B152" s="84" t="n"/>
    </row>
    <row r="153">
      <c r="B153" s="84" t="n"/>
    </row>
    <row r="154">
      <c r="B154" s="84" t="n"/>
    </row>
    <row r="155">
      <c r="B155" s="84" t="n"/>
    </row>
    <row r="156">
      <c r="B156" s="84" t="n"/>
    </row>
    <row r="157">
      <c r="B157" s="84" t="n"/>
    </row>
    <row r="158">
      <c r="B158" s="84" t="n"/>
    </row>
    <row r="159">
      <c r="B159" s="84" t="n"/>
    </row>
    <row r="160">
      <c r="B160" s="84" t="n"/>
    </row>
    <row r="161">
      <c r="B161" s="84" t="n"/>
    </row>
    <row r="162">
      <c r="B162" s="84" t="n"/>
    </row>
    <row r="163">
      <c r="B163" s="84" t="n"/>
    </row>
    <row r="164">
      <c r="B164" s="84" t="n"/>
    </row>
    <row r="165">
      <c r="B165" s="84" t="n"/>
    </row>
    <row r="166">
      <c r="B166" s="84" t="n"/>
    </row>
    <row r="167">
      <c r="B167" s="84" t="n"/>
    </row>
    <row r="168">
      <c r="B168" s="84" t="n"/>
    </row>
    <row r="169">
      <c r="B169" s="84" t="n"/>
    </row>
    <row r="170">
      <c r="B170" s="84" t="n"/>
    </row>
    <row r="171">
      <c r="B171" s="84" t="n"/>
    </row>
    <row r="172">
      <c r="B172" s="84" t="n"/>
    </row>
    <row r="173">
      <c r="B173" s="84" t="n"/>
    </row>
    <row r="174">
      <c r="B174" s="84" t="n"/>
    </row>
    <row r="175">
      <c r="B175" s="84" t="n"/>
    </row>
    <row r="176">
      <c r="B176" s="84" t="n"/>
    </row>
    <row r="177">
      <c r="B177" s="84" t="n"/>
    </row>
    <row r="178">
      <c r="B178" s="84" t="n"/>
    </row>
    <row r="179">
      <c r="B179" s="84" t="n"/>
    </row>
    <row r="180">
      <c r="B180" s="84" t="n"/>
    </row>
    <row r="181">
      <c r="B181" s="84" t="n"/>
    </row>
    <row r="182">
      <c r="B182" s="84" t="n"/>
    </row>
    <row r="183">
      <c r="B183" s="84" t="n"/>
    </row>
    <row r="184">
      <c r="B184" s="84" t="n"/>
    </row>
    <row r="185">
      <c r="B185" s="84" t="n"/>
    </row>
    <row r="186">
      <c r="B186" s="84" t="n"/>
    </row>
    <row r="187">
      <c r="B187" s="84" t="n"/>
    </row>
    <row r="188">
      <c r="B188" s="84" t="n"/>
    </row>
    <row r="189">
      <c r="B189" s="84" t="n"/>
    </row>
    <row r="190">
      <c r="B190" s="84" t="n"/>
    </row>
    <row r="191">
      <c r="B191" s="84" t="n"/>
    </row>
    <row r="192">
      <c r="B192" s="84" t="n"/>
    </row>
    <row r="193">
      <c r="B193" s="84" t="n"/>
    </row>
    <row r="194">
      <c r="B194" s="84" t="n"/>
    </row>
    <row r="195">
      <c r="B195" s="84" t="n"/>
    </row>
    <row r="196">
      <c r="B196" s="84" t="n"/>
    </row>
    <row r="197">
      <c r="B197" s="84" t="n"/>
    </row>
    <row r="198">
      <c r="B198" s="84" t="n"/>
    </row>
    <row r="199">
      <c r="B199" s="84" t="n"/>
    </row>
    <row r="200">
      <c r="B200" s="84" t="n"/>
    </row>
    <row r="201">
      <c r="B201" s="84" t="n"/>
    </row>
    <row r="202">
      <c r="B202" s="84" t="n"/>
    </row>
    <row r="203">
      <c r="B203" s="84" t="n"/>
    </row>
    <row r="204">
      <c r="B204" s="84" t="n"/>
    </row>
    <row r="205">
      <c r="B205" s="84" t="n"/>
    </row>
    <row r="206">
      <c r="B206" s="84" t="n"/>
    </row>
    <row r="207">
      <c r="B207" s="84" t="n"/>
    </row>
    <row r="208">
      <c r="B208" s="84" t="n"/>
    </row>
    <row r="209">
      <c r="B209" s="84" t="n"/>
    </row>
    <row r="210">
      <c r="B210" s="84" t="n"/>
    </row>
    <row r="211">
      <c r="B211" s="84" t="n"/>
    </row>
    <row r="212">
      <c r="B212" s="84" t="n"/>
    </row>
    <row r="213">
      <c r="B213" s="84" t="n"/>
    </row>
    <row r="214">
      <c r="B214" s="84" t="n"/>
    </row>
    <row r="215">
      <c r="B215" s="84" t="n"/>
    </row>
    <row r="216">
      <c r="B216" s="84" t="n"/>
    </row>
    <row r="217">
      <c r="B217" s="84" t="n"/>
    </row>
    <row r="218">
      <c r="B218" s="84" t="n"/>
    </row>
    <row r="219">
      <c r="B219" s="84" t="n"/>
    </row>
    <row r="220">
      <c r="B220" s="84" t="n"/>
    </row>
    <row r="221">
      <c r="B221" s="84" t="n"/>
    </row>
    <row r="222">
      <c r="B222" s="84" t="n"/>
    </row>
    <row r="223">
      <c r="B223" s="84" t="n"/>
    </row>
    <row r="224">
      <c r="B224" s="84" t="n"/>
    </row>
    <row r="225">
      <c r="B225" s="84" t="n"/>
    </row>
    <row r="226">
      <c r="B226" s="84" t="n"/>
    </row>
    <row r="227">
      <c r="B227" s="84" t="n"/>
    </row>
    <row r="228">
      <c r="B228" s="84" t="n"/>
    </row>
    <row r="229">
      <c r="B229" s="84" t="n"/>
    </row>
    <row r="230">
      <c r="B230" s="84" t="n"/>
    </row>
    <row r="231">
      <c r="B231" s="84" t="n"/>
    </row>
    <row r="232">
      <c r="B232" s="84" t="n"/>
    </row>
    <row r="233">
      <c r="B233" s="84" t="n"/>
    </row>
    <row r="234">
      <c r="B234" s="84" t="n"/>
    </row>
    <row r="235">
      <c r="B235" s="84" t="n"/>
    </row>
    <row r="236">
      <c r="B236" s="84" t="n"/>
    </row>
    <row r="237">
      <c r="B237" s="84" t="n"/>
    </row>
    <row r="238">
      <c r="B238" s="84" t="n"/>
    </row>
    <row r="239">
      <c r="B239" s="84" t="n"/>
    </row>
    <row r="240">
      <c r="B240" s="84" t="n"/>
    </row>
    <row r="241">
      <c r="B241" s="84" t="n"/>
    </row>
    <row r="242">
      <c r="B242" s="84" t="n"/>
    </row>
    <row r="243">
      <c r="B243" s="84" t="n"/>
    </row>
    <row r="244">
      <c r="B244" s="84" t="n"/>
    </row>
    <row r="245">
      <c r="B245" s="84" t="n"/>
    </row>
    <row r="246">
      <c r="B246" s="84" t="n"/>
    </row>
    <row r="247">
      <c r="B247" s="84" t="n"/>
    </row>
    <row r="248">
      <c r="B248" s="84" t="n"/>
    </row>
    <row r="249">
      <c r="B249" s="84" t="n"/>
    </row>
    <row r="250">
      <c r="B250" s="84" t="n"/>
    </row>
    <row r="251">
      <c r="B251" s="84" t="n"/>
    </row>
    <row r="252">
      <c r="B252" s="84" t="n"/>
    </row>
    <row r="253">
      <c r="B253" s="84" t="n"/>
    </row>
    <row r="254">
      <c r="B254" s="84" t="n"/>
    </row>
    <row r="255">
      <c r="B255" s="84" t="n"/>
    </row>
    <row r="256">
      <c r="B256" s="84" t="n"/>
    </row>
    <row r="257">
      <c r="B257" s="84" t="n"/>
    </row>
    <row r="258">
      <c r="B258" s="84" t="n"/>
    </row>
    <row r="259">
      <c r="B259" s="84" t="n"/>
    </row>
    <row r="260">
      <c r="B260" s="84" t="n"/>
    </row>
    <row r="261">
      <c r="B261" s="84" t="n"/>
    </row>
    <row r="262">
      <c r="B262" s="84" t="n"/>
    </row>
    <row r="263">
      <c r="B263" s="84" t="n"/>
    </row>
    <row r="264">
      <c r="B264" s="84" t="n"/>
    </row>
    <row r="265">
      <c r="B265" s="84" t="n"/>
    </row>
    <row r="266">
      <c r="B266" s="84" t="n"/>
    </row>
    <row r="267">
      <c r="B267" s="84" t="n"/>
    </row>
    <row r="268">
      <c r="B268" s="84" t="n"/>
    </row>
    <row r="269">
      <c r="B269" s="84" t="n"/>
    </row>
    <row r="270">
      <c r="B270" s="84" t="n"/>
    </row>
    <row r="271">
      <c r="B271" s="84" t="n"/>
    </row>
    <row r="272">
      <c r="B272" s="84" t="n"/>
    </row>
    <row r="273">
      <c r="B273" s="84" t="n"/>
    </row>
    <row r="274">
      <c r="B274" s="84" t="n"/>
    </row>
    <row r="275">
      <c r="B275" s="84" t="n"/>
    </row>
    <row r="276">
      <c r="B276" s="84" t="n"/>
    </row>
    <row r="277">
      <c r="B277" s="84" t="n"/>
    </row>
    <row r="278">
      <c r="B278" s="84" t="n"/>
    </row>
    <row r="279">
      <c r="B279" s="84" t="n"/>
    </row>
    <row r="280">
      <c r="B280" s="84" t="n"/>
    </row>
    <row r="281">
      <c r="B281" s="84" t="n"/>
    </row>
    <row r="282">
      <c r="B282" s="84" t="n"/>
    </row>
    <row r="283">
      <c r="B283" s="84" t="n"/>
    </row>
    <row r="284">
      <c r="B284" s="84" t="n"/>
    </row>
    <row r="285">
      <c r="B285" s="84" t="n"/>
    </row>
    <row r="286">
      <c r="B286" s="84" t="n"/>
    </row>
    <row r="287">
      <c r="B287" s="84" t="n"/>
    </row>
    <row r="288">
      <c r="B288" s="84" t="n"/>
    </row>
    <row r="289">
      <c r="B289" s="84" t="n"/>
    </row>
    <row r="290">
      <c r="B290" s="84" t="n"/>
    </row>
    <row r="291">
      <c r="B291" s="84" t="n"/>
    </row>
    <row r="292">
      <c r="B292" s="84" t="n"/>
    </row>
    <row r="293">
      <c r="B293" s="84" t="n"/>
    </row>
    <row r="294">
      <c r="B294" s="84" t="n"/>
    </row>
    <row r="295">
      <c r="B295" s="84" t="n"/>
    </row>
    <row r="296">
      <c r="B296" s="84" t="n"/>
    </row>
    <row r="297">
      <c r="B297" s="84" t="n"/>
    </row>
    <row r="298">
      <c r="B298" s="84" t="n"/>
    </row>
    <row r="299">
      <c r="B299" s="84" t="n"/>
    </row>
    <row r="300">
      <c r="B300" s="84" t="n"/>
    </row>
    <row r="301">
      <c r="B301" s="84" t="n"/>
    </row>
    <row r="302">
      <c r="B302" s="84" t="n"/>
    </row>
    <row r="303">
      <c r="B303" s="84" t="n"/>
    </row>
    <row r="304">
      <c r="B304" s="84" t="n"/>
    </row>
    <row r="305">
      <c r="B305" s="84" t="n"/>
    </row>
    <row r="306">
      <c r="B306" s="84" t="n"/>
    </row>
    <row r="307">
      <c r="B307" s="84" t="n"/>
    </row>
    <row r="308">
      <c r="B308" s="84" t="n"/>
    </row>
    <row r="309">
      <c r="B309" s="84" t="n"/>
    </row>
    <row r="310">
      <c r="B310" s="84" t="n"/>
    </row>
    <row r="311">
      <c r="B311" s="84" t="n"/>
    </row>
    <row r="312">
      <c r="B312" s="84" t="n"/>
    </row>
    <row r="313">
      <c r="B313" s="84" t="n"/>
    </row>
    <row r="314">
      <c r="B314" s="84" t="n"/>
    </row>
    <row r="315">
      <c r="B315" s="84" t="n"/>
    </row>
    <row r="316">
      <c r="B316" s="84" t="n"/>
    </row>
    <row r="317">
      <c r="B317" s="84" t="n"/>
    </row>
    <row r="318">
      <c r="B318" s="84" t="n"/>
    </row>
    <row r="319">
      <c r="B319" s="84" t="n"/>
    </row>
    <row r="320">
      <c r="B320" s="84" t="n"/>
    </row>
    <row r="321">
      <c r="B321" s="84" t="n"/>
    </row>
    <row r="322">
      <c r="B322" s="84" t="n"/>
    </row>
    <row r="323">
      <c r="B323" s="84" t="n"/>
    </row>
    <row r="324">
      <c r="B324" s="84" t="n"/>
    </row>
    <row r="325">
      <c r="B325" s="84" t="n"/>
    </row>
    <row r="326">
      <c r="B326" s="84" t="n"/>
    </row>
    <row r="327">
      <c r="B327" s="84" t="n"/>
    </row>
    <row r="328">
      <c r="B328" s="84" t="n"/>
    </row>
    <row r="329">
      <c r="B329" s="84" t="n"/>
    </row>
    <row r="330">
      <c r="B330" s="84" t="n"/>
    </row>
    <row r="331">
      <c r="B331" s="84" t="n"/>
    </row>
    <row r="332">
      <c r="B332" s="84" t="n"/>
    </row>
    <row r="333">
      <c r="B333" s="84" t="n"/>
    </row>
    <row r="334">
      <c r="B334" s="84" t="n"/>
    </row>
    <row r="335">
      <c r="B335" s="84" t="n"/>
    </row>
    <row r="336">
      <c r="B336" s="84" t="n"/>
    </row>
    <row r="337">
      <c r="B337" s="84" t="n"/>
    </row>
    <row r="338">
      <c r="B338" s="84" t="n"/>
    </row>
    <row r="339">
      <c r="B339" s="84" t="n"/>
    </row>
    <row r="340">
      <c r="B340" s="84" t="n"/>
    </row>
    <row r="341">
      <c r="B341" s="84" t="n"/>
    </row>
    <row r="342">
      <c r="B342" s="84" t="n"/>
    </row>
    <row r="343">
      <c r="B343" s="84" t="n"/>
    </row>
    <row r="344">
      <c r="B344" s="84" t="n"/>
    </row>
    <row r="345">
      <c r="B345" s="84" t="n"/>
    </row>
    <row r="346">
      <c r="B346" s="84" t="n"/>
    </row>
    <row r="347">
      <c r="B347" s="84" t="n"/>
    </row>
    <row r="348">
      <c r="B348" s="84" t="n"/>
    </row>
    <row r="349">
      <c r="B349" s="84" t="n"/>
    </row>
    <row r="350">
      <c r="B350" s="84" t="n"/>
    </row>
    <row r="351">
      <c r="B351" s="84" t="n"/>
    </row>
    <row r="352">
      <c r="B352" s="84" t="n"/>
    </row>
    <row r="353">
      <c r="B353" s="84" t="n"/>
    </row>
    <row r="354">
      <c r="B354" s="84" t="n"/>
    </row>
    <row r="355">
      <c r="B355" s="84" t="n"/>
    </row>
    <row r="356">
      <c r="B356" s="84" t="n"/>
    </row>
    <row r="357">
      <c r="B357" s="84" t="n"/>
    </row>
    <row r="358">
      <c r="B358" s="84" t="n"/>
    </row>
    <row r="359">
      <c r="B359" s="84" t="n"/>
    </row>
    <row r="360">
      <c r="B360" s="84" t="n"/>
    </row>
    <row r="361">
      <c r="B361" s="84" t="n"/>
    </row>
    <row r="362">
      <c r="B362" s="84" t="n"/>
    </row>
    <row r="363">
      <c r="B363" s="84" t="n"/>
    </row>
    <row r="364">
      <c r="B364" s="84" t="n"/>
    </row>
    <row r="365">
      <c r="B365" s="84" t="n"/>
    </row>
    <row r="366">
      <c r="B366" s="84" t="n"/>
    </row>
    <row r="367">
      <c r="B367" s="84" t="n"/>
    </row>
    <row r="368">
      <c r="B368" s="84" t="n"/>
    </row>
    <row r="369">
      <c r="B369" s="84" t="n"/>
    </row>
    <row r="370">
      <c r="B370" s="84" t="n"/>
    </row>
    <row r="371">
      <c r="B371" s="84" t="n"/>
    </row>
    <row r="372">
      <c r="B372" s="84" t="n"/>
    </row>
    <row r="373">
      <c r="B373" s="84" t="n"/>
    </row>
    <row r="374">
      <c r="B374" s="84" t="n"/>
    </row>
    <row r="375">
      <c r="B375" s="84" t="n"/>
    </row>
    <row r="376">
      <c r="B376" s="84" t="n"/>
    </row>
    <row r="377">
      <c r="B377" s="84" t="n"/>
    </row>
    <row r="378">
      <c r="B378" s="84" t="n"/>
    </row>
    <row r="379">
      <c r="B379" s="84" t="n"/>
    </row>
    <row r="380">
      <c r="B380" s="84" t="n"/>
    </row>
    <row r="381">
      <c r="B381" s="84" t="n"/>
    </row>
    <row r="382">
      <c r="B382" s="84" t="n"/>
    </row>
    <row r="383">
      <c r="B383" s="84" t="n"/>
    </row>
    <row r="384">
      <c r="B384" s="84" t="n"/>
    </row>
    <row r="385">
      <c r="B385" s="84" t="n"/>
    </row>
    <row r="386">
      <c r="B386" s="84" t="n"/>
    </row>
    <row r="387">
      <c r="B387" s="84" t="n"/>
    </row>
    <row r="388">
      <c r="B388" s="84" t="n"/>
    </row>
    <row r="389">
      <c r="B389" s="84" t="n"/>
    </row>
    <row r="390">
      <c r="B390" s="84" t="n"/>
    </row>
    <row r="391">
      <c r="B391" s="84" t="n"/>
    </row>
    <row r="392">
      <c r="B392" s="84" t="n"/>
    </row>
    <row r="393">
      <c r="B393" s="84" t="n"/>
    </row>
    <row r="394">
      <c r="B394" s="84" t="n"/>
    </row>
    <row r="395">
      <c r="B395" s="84" t="n"/>
    </row>
    <row r="396">
      <c r="B396" s="84" t="n"/>
    </row>
    <row r="397">
      <c r="B397" s="84" t="n"/>
    </row>
    <row r="398">
      <c r="B398" s="84" t="n"/>
    </row>
    <row r="399">
      <c r="B399" s="84" t="n"/>
    </row>
    <row r="400">
      <c r="B400" s="84" t="n"/>
    </row>
    <row r="401">
      <c r="B401" s="84" t="n"/>
    </row>
    <row r="402">
      <c r="B402" s="84" t="n"/>
    </row>
    <row r="403">
      <c r="B403" s="84" t="n"/>
    </row>
    <row r="404">
      <c r="B404" s="84" t="n"/>
    </row>
    <row r="405">
      <c r="B405" s="84" t="n"/>
    </row>
    <row r="406">
      <c r="B406" s="84" t="n"/>
    </row>
    <row r="407">
      <c r="B407" s="84" t="n"/>
    </row>
    <row r="408">
      <c r="B408" s="84" t="n"/>
    </row>
    <row r="409">
      <c r="B409" s="84" t="n"/>
    </row>
    <row r="410">
      <c r="B410" s="84" t="n"/>
    </row>
    <row r="411">
      <c r="B411" s="84" t="n"/>
    </row>
    <row r="412">
      <c r="B412" s="84" t="n"/>
    </row>
    <row r="413">
      <c r="B413" s="84" t="n"/>
    </row>
    <row r="414">
      <c r="B414" s="84" t="n"/>
    </row>
    <row r="415">
      <c r="B415" s="84" t="n"/>
    </row>
    <row r="416">
      <c r="B416" s="84" t="n"/>
    </row>
    <row r="417">
      <c r="B417" s="84" t="n"/>
    </row>
    <row r="418">
      <c r="B418" s="84" t="n"/>
    </row>
    <row r="419">
      <c r="B419" s="84" t="n"/>
    </row>
    <row r="420">
      <c r="B420" s="84" t="n"/>
    </row>
    <row r="421">
      <c r="B421" s="84" t="n"/>
    </row>
    <row r="422">
      <c r="B422" s="84" t="n"/>
    </row>
    <row r="423">
      <c r="B423" s="84" t="n"/>
    </row>
    <row r="424">
      <c r="B424" s="84" t="n"/>
    </row>
    <row r="425">
      <c r="B425" s="84" t="n"/>
    </row>
    <row r="426">
      <c r="B426" s="84" t="n"/>
    </row>
    <row r="427">
      <c r="B427" s="84" t="n"/>
    </row>
    <row r="428">
      <c r="B428" s="84" t="n"/>
    </row>
    <row r="429">
      <c r="B429" s="84" t="n"/>
    </row>
    <row r="430">
      <c r="B430" s="84" t="n"/>
    </row>
    <row r="431">
      <c r="B431" s="84" t="n"/>
    </row>
    <row r="432">
      <c r="B432" s="84" t="n"/>
    </row>
    <row r="433">
      <c r="B433" s="84" t="n"/>
    </row>
    <row r="434">
      <c r="B434" s="84" t="n"/>
    </row>
    <row r="435">
      <c r="B435" s="84" t="n"/>
    </row>
    <row r="436">
      <c r="B436" s="84" t="n"/>
    </row>
    <row r="437">
      <c r="B437" s="84" t="n"/>
    </row>
    <row r="438">
      <c r="B438" s="84" t="n"/>
    </row>
    <row r="439">
      <c r="B439" s="84" t="n"/>
    </row>
    <row r="440">
      <c r="B440" s="84" t="n"/>
    </row>
    <row r="441">
      <c r="B441" s="84" t="n"/>
    </row>
    <row r="442">
      <c r="B442" s="84" t="n"/>
    </row>
    <row r="443">
      <c r="B443" s="84" t="n"/>
    </row>
    <row r="444">
      <c r="B444" s="84" t="n"/>
    </row>
    <row r="445">
      <c r="B445" s="84" t="n"/>
    </row>
    <row r="446">
      <c r="B446" s="84" t="n"/>
    </row>
    <row r="447">
      <c r="B447" s="84" t="n"/>
    </row>
    <row r="448">
      <c r="B448" s="84" t="n"/>
    </row>
    <row r="449">
      <c r="B449" s="84" t="n"/>
    </row>
    <row r="450">
      <c r="B450" s="84" t="n"/>
    </row>
    <row r="451">
      <c r="B451" s="84" t="n"/>
    </row>
    <row r="452">
      <c r="B452" s="84" t="n"/>
    </row>
    <row r="453">
      <c r="B453" s="84" t="n"/>
    </row>
    <row r="454">
      <c r="B454" s="84" t="n"/>
    </row>
    <row r="455">
      <c r="B455" s="84" t="n"/>
    </row>
    <row r="456">
      <c r="B456" s="84" t="n"/>
    </row>
    <row r="457">
      <c r="B457" s="84" t="n"/>
    </row>
    <row r="458">
      <c r="B458" s="84" t="n"/>
    </row>
    <row r="459">
      <c r="B459" s="84" t="n"/>
    </row>
    <row r="460">
      <c r="B460" s="84" t="n"/>
    </row>
    <row r="461">
      <c r="B461" s="84" t="n"/>
    </row>
    <row r="462">
      <c r="B462" s="84" t="n"/>
    </row>
    <row r="463">
      <c r="B463" s="84" t="n"/>
    </row>
    <row r="464">
      <c r="B464" s="84" t="n"/>
    </row>
    <row r="465">
      <c r="B465" s="84" t="n"/>
    </row>
    <row r="466">
      <c r="B466" s="84" t="n"/>
    </row>
    <row r="467">
      <c r="B467" s="84" t="n"/>
    </row>
    <row r="468">
      <c r="B468" s="84" t="n"/>
    </row>
    <row r="469">
      <c r="B469" s="84" t="n"/>
    </row>
    <row r="470">
      <c r="B470" s="84" t="n"/>
    </row>
    <row r="471">
      <c r="B471" s="84" t="n"/>
    </row>
    <row r="472">
      <c r="B472" s="84" t="n"/>
    </row>
    <row r="473">
      <c r="B473" s="84" t="n"/>
    </row>
    <row r="474">
      <c r="B474" s="84" t="n"/>
    </row>
    <row r="475">
      <c r="B475" s="84" t="n"/>
    </row>
    <row r="476">
      <c r="B476" s="84" t="n"/>
    </row>
    <row r="477">
      <c r="B477" s="84" t="n"/>
    </row>
    <row r="478">
      <c r="B478" s="84" t="n"/>
    </row>
    <row r="479">
      <c r="B479" s="84" t="n"/>
    </row>
    <row r="480">
      <c r="B480" s="84" t="n"/>
    </row>
    <row r="481">
      <c r="B481" s="84" t="n"/>
    </row>
    <row r="482">
      <c r="B482" s="84" t="n"/>
    </row>
    <row r="483">
      <c r="B483" s="84" t="n"/>
    </row>
    <row r="484">
      <c r="B484" s="84" t="n"/>
    </row>
    <row r="485">
      <c r="B485" s="84" t="n"/>
    </row>
    <row r="486">
      <c r="B486" s="84" t="n"/>
    </row>
    <row r="487">
      <c r="B487" s="84" t="n"/>
    </row>
    <row r="488">
      <c r="B488" s="84" t="n"/>
    </row>
    <row r="489">
      <c r="B489" s="84" t="n"/>
    </row>
    <row r="490">
      <c r="B490" s="84" t="n"/>
    </row>
    <row r="491">
      <c r="B491" s="84" t="n"/>
    </row>
    <row r="492">
      <c r="B492" s="84" t="n"/>
    </row>
    <row r="493">
      <c r="B493" s="84" t="n"/>
    </row>
    <row r="494">
      <c r="B494" s="84" t="n"/>
    </row>
    <row r="495">
      <c r="B495" s="84" t="n"/>
    </row>
    <row r="496">
      <c r="B496" s="84" t="n"/>
    </row>
    <row r="497">
      <c r="B497" s="84" t="n"/>
    </row>
    <row r="498">
      <c r="B498" s="84" t="n"/>
    </row>
    <row r="499">
      <c r="B499" s="84" t="n"/>
    </row>
    <row r="500">
      <c r="B500" s="84" t="n"/>
    </row>
    <row r="501">
      <c r="B501" s="84" t="n"/>
    </row>
    <row r="502">
      <c r="B502" s="84" t="n"/>
    </row>
    <row r="503">
      <c r="B503" s="84" t="n"/>
    </row>
    <row r="504">
      <c r="B504" s="84" t="n"/>
    </row>
    <row r="505">
      <c r="B505" s="84" t="n"/>
    </row>
    <row r="506">
      <c r="B506" s="84" t="n"/>
    </row>
    <row r="507">
      <c r="B507" s="84" t="n"/>
    </row>
    <row r="508">
      <c r="B508" s="84" t="n"/>
    </row>
    <row r="509">
      <c r="B509" s="84" t="n"/>
    </row>
    <row r="510">
      <c r="B510" s="84" t="n"/>
    </row>
    <row r="511">
      <c r="B511" s="84" t="n"/>
    </row>
    <row r="512">
      <c r="B512" s="84" t="n"/>
    </row>
    <row r="513">
      <c r="B513" s="84" t="n"/>
    </row>
    <row r="514">
      <c r="B514" s="84" t="n"/>
    </row>
    <row r="515">
      <c r="B515" s="84" t="n"/>
    </row>
    <row r="516">
      <c r="B516" s="84" t="n"/>
    </row>
    <row r="517">
      <c r="B517" s="84" t="n"/>
    </row>
    <row r="518">
      <c r="B518" s="84" t="n"/>
    </row>
    <row r="519">
      <c r="B519" s="84" t="n"/>
    </row>
    <row r="520">
      <c r="B520" s="84" t="n"/>
    </row>
    <row r="521">
      <c r="B521" s="84" t="n"/>
    </row>
    <row r="522">
      <c r="B522" s="84" t="n"/>
    </row>
    <row r="523">
      <c r="B523" s="84" t="n"/>
    </row>
    <row r="524">
      <c r="B524" s="84" t="n"/>
    </row>
    <row r="525">
      <c r="B525" s="84" t="n"/>
    </row>
    <row r="526">
      <c r="B526" s="84" t="n"/>
    </row>
    <row r="527">
      <c r="B527" s="84" t="n"/>
    </row>
    <row r="528">
      <c r="B528" s="84" t="n"/>
    </row>
    <row r="529">
      <c r="B529" s="84" t="n"/>
    </row>
    <row r="530">
      <c r="B530" s="84" t="n"/>
    </row>
    <row r="531">
      <c r="B531" s="84" t="n"/>
    </row>
    <row r="532">
      <c r="B532" s="84" t="n"/>
    </row>
    <row r="533">
      <c r="B533" s="84" t="n"/>
    </row>
    <row r="534">
      <c r="B534" s="84" t="n"/>
    </row>
    <row r="535">
      <c r="B535" s="84" t="n"/>
    </row>
    <row r="536">
      <c r="B536" s="84" t="n"/>
    </row>
    <row r="537">
      <c r="B537" s="84" t="n"/>
    </row>
    <row r="538">
      <c r="B538" s="84" t="n"/>
    </row>
    <row r="539">
      <c r="B539" s="84" t="n"/>
    </row>
    <row r="540">
      <c r="B540" s="84" t="n"/>
    </row>
    <row r="541">
      <c r="B541" s="84" t="n"/>
    </row>
    <row r="542">
      <c r="B542" s="84" t="n"/>
    </row>
    <row r="543">
      <c r="B543" s="84" t="n"/>
    </row>
    <row r="544">
      <c r="B544" s="84" t="n"/>
    </row>
    <row r="545">
      <c r="B545" s="84" t="n"/>
    </row>
    <row r="546">
      <c r="B546" s="84" t="n"/>
    </row>
    <row r="547">
      <c r="B547" s="84" t="n"/>
    </row>
    <row r="548">
      <c r="B548" s="84" t="n"/>
    </row>
    <row r="549">
      <c r="B549" s="84" t="n"/>
    </row>
    <row r="550">
      <c r="B550" s="84" t="n"/>
    </row>
    <row r="551">
      <c r="B551" s="84" t="n"/>
    </row>
    <row r="552">
      <c r="B552" s="84" t="n"/>
    </row>
    <row r="553">
      <c r="B553" s="84" t="n"/>
    </row>
    <row r="554">
      <c r="B554" s="84" t="n"/>
    </row>
    <row r="555">
      <c r="B555" s="84" t="n"/>
    </row>
    <row r="556">
      <c r="B556" s="84" t="n"/>
    </row>
    <row r="557">
      <c r="B557" s="84" t="n"/>
    </row>
    <row r="558">
      <c r="B558" s="84" t="n"/>
    </row>
    <row r="559">
      <c r="B559" s="84" t="n"/>
    </row>
    <row r="560">
      <c r="B560" s="84" t="n"/>
    </row>
    <row r="561">
      <c r="B561" s="84" t="n"/>
    </row>
    <row r="562">
      <c r="B562" s="84" t="n"/>
    </row>
    <row r="563">
      <c r="B563" s="84" t="n"/>
    </row>
    <row r="564">
      <c r="B564" s="84" t="n"/>
    </row>
    <row r="565">
      <c r="B565" s="84" t="n"/>
    </row>
    <row r="566">
      <c r="B566" s="84" t="n"/>
    </row>
    <row r="567">
      <c r="B567" s="84" t="n"/>
    </row>
    <row r="568">
      <c r="B568" s="84" t="n"/>
    </row>
    <row r="569">
      <c r="B569" s="84" t="n"/>
    </row>
    <row r="570">
      <c r="B570" s="84" t="n"/>
    </row>
    <row r="571">
      <c r="B571" s="84" t="n"/>
    </row>
    <row r="572">
      <c r="B572" s="84" t="n"/>
    </row>
    <row r="573">
      <c r="B573" s="84" t="n"/>
    </row>
    <row r="574">
      <c r="B574" s="84" t="n"/>
    </row>
    <row r="575">
      <c r="B575" s="84" t="n"/>
    </row>
    <row r="576">
      <c r="B576" s="84" t="n"/>
    </row>
    <row r="577">
      <c r="B577" s="84" t="n"/>
    </row>
    <row r="578">
      <c r="B578" s="84" t="n"/>
    </row>
    <row r="579">
      <c r="B579" s="84" t="n"/>
    </row>
    <row r="580">
      <c r="B580" s="84" t="n"/>
    </row>
    <row r="581">
      <c r="B581" s="84" t="n"/>
    </row>
    <row r="582">
      <c r="B582" s="84" t="n"/>
    </row>
    <row r="583">
      <c r="B583" s="84" t="n"/>
    </row>
    <row r="584">
      <c r="B584" s="84" t="n"/>
    </row>
    <row r="585">
      <c r="B585" s="84" t="n"/>
    </row>
    <row r="586">
      <c r="B586" s="84" t="n"/>
    </row>
    <row r="587">
      <c r="B587" s="84" t="n"/>
    </row>
    <row r="588">
      <c r="B588" s="84" t="n"/>
    </row>
    <row r="589">
      <c r="B589" s="84" t="n"/>
    </row>
    <row r="590">
      <c r="B590" s="84" t="n"/>
    </row>
    <row r="591">
      <c r="B591" s="84" t="n"/>
    </row>
    <row r="592">
      <c r="B592" s="84" t="n"/>
    </row>
    <row r="593">
      <c r="B593" s="84" t="n"/>
    </row>
    <row r="594">
      <c r="B594" s="84" t="n"/>
    </row>
    <row r="595">
      <c r="B595" s="84" t="n"/>
    </row>
    <row r="596">
      <c r="B596" s="84" t="n"/>
    </row>
    <row r="597">
      <c r="B597" s="84" t="n"/>
    </row>
    <row r="598">
      <c r="B598" s="84" t="n"/>
    </row>
    <row r="599">
      <c r="B599" s="84" t="n"/>
    </row>
    <row r="600">
      <c r="B600" s="84" t="n"/>
    </row>
    <row r="601">
      <c r="B601" s="84" t="n"/>
    </row>
    <row r="602">
      <c r="B602" s="84" t="n"/>
    </row>
    <row r="603">
      <c r="B603" s="84" t="n"/>
    </row>
    <row r="604">
      <c r="B604" s="84" t="n"/>
    </row>
    <row r="605">
      <c r="B605" s="84" t="n"/>
    </row>
    <row r="606">
      <c r="B606" s="84" t="n"/>
    </row>
    <row r="607">
      <c r="B607" s="84" t="n"/>
    </row>
    <row r="608">
      <c r="B608" s="84" t="n"/>
    </row>
    <row r="609">
      <c r="B609" s="84" t="n"/>
    </row>
    <row r="610">
      <c r="B610" s="84" t="n"/>
    </row>
    <row r="611">
      <c r="B611" s="84" t="n"/>
    </row>
    <row r="612">
      <c r="B612" s="84" t="n"/>
    </row>
    <row r="613">
      <c r="B613" s="84" t="n"/>
    </row>
    <row r="614">
      <c r="B614" s="84" t="n"/>
    </row>
    <row r="615">
      <c r="B615" s="84" t="n"/>
    </row>
    <row r="616">
      <c r="B616" s="84" t="n"/>
    </row>
    <row r="617">
      <c r="B617" s="84" t="n"/>
    </row>
    <row r="618">
      <c r="B618" s="84" t="n"/>
    </row>
    <row r="619">
      <c r="B619" s="84" t="n"/>
    </row>
    <row r="620">
      <c r="B620" s="84" t="n"/>
    </row>
    <row r="621">
      <c r="B621" s="84" t="n"/>
    </row>
    <row r="622">
      <c r="B622" s="84" t="n"/>
    </row>
    <row r="623">
      <c r="B623" s="84" t="n"/>
    </row>
    <row r="624">
      <c r="B624" s="84" t="n"/>
    </row>
    <row r="625">
      <c r="B625" s="84" t="n"/>
    </row>
    <row r="626">
      <c r="B626" s="84" t="n"/>
    </row>
    <row r="627">
      <c r="B627" s="84" t="n"/>
    </row>
    <row r="628">
      <c r="B628" s="84" t="n"/>
    </row>
    <row r="629">
      <c r="B629" s="84" t="n"/>
    </row>
    <row r="630">
      <c r="B630" s="84" t="n"/>
    </row>
    <row r="631">
      <c r="B631" s="84" t="n"/>
    </row>
    <row r="632">
      <c r="B632" s="84" t="n"/>
    </row>
    <row r="633">
      <c r="B633" s="84" t="n"/>
    </row>
    <row r="634">
      <c r="B634" s="84" t="n"/>
    </row>
    <row r="635">
      <c r="B635" s="84" t="n"/>
    </row>
    <row r="636">
      <c r="B636" s="84" t="n"/>
    </row>
    <row r="637">
      <c r="B637" s="84" t="n"/>
    </row>
    <row r="638">
      <c r="B638" s="84" t="n"/>
    </row>
    <row r="639">
      <c r="B639" s="84" t="n"/>
    </row>
    <row r="640">
      <c r="B640" s="84" t="n"/>
    </row>
    <row r="641">
      <c r="B641" s="84" t="n"/>
    </row>
    <row r="642">
      <c r="B642" s="84" t="n"/>
    </row>
    <row r="643">
      <c r="B643" s="84" t="n"/>
    </row>
    <row r="644">
      <c r="B644" s="84" t="n"/>
    </row>
    <row r="645">
      <c r="B645" s="84" t="n"/>
    </row>
    <row r="646">
      <c r="B646" s="84" t="n"/>
    </row>
    <row r="647">
      <c r="B647" s="84" t="n"/>
    </row>
    <row r="648">
      <c r="B648" s="84" t="n"/>
    </row>
    <row r="649">
      <c r="B649" s="84" t="n"/>
    </row>
    <row r="650">
      <c r="B650" s="84" t="n"/>
    </row>
    <row r="651">
      <c r="B651" s="84" t="n"/>
    </row>
    <row r="652">
      <c r="B652" s="84" t="n"/>
    </row>
    <row r="653">
      <c r="B653" s="84" t="n"/>
    </row>
    <row r="654">
      <c r="B654" s="84" t="n"/>
    </row>
    <row r="655">
      <c r="B655" s="84" t="n"/>
    </row>
    <row r="656">
      <c r="B656" s="84" t="n"/>
    </row>
    <row r="657">
      <c r="B657" s="84" t="n"/>
    </row>
    <row r="658">
      <c r="B658" s="84" t="n"/>
    </row>
    <row r="659">
      <c r="B659" s="84" t="n"/>
    </row>
    <row r="660">
      <c r="B660" s="84" t="n"/>
    </row>
    <row r="661">
      <c r="B661" s="84" t="n"/>
    </row>
    <row r="662">
      <c r="B662" s="84" t="n"/>
    </row>
    <row r="663">
      <c r="B663" s="84" t="n"/>
    </row>
    <row r="664">
      <c r="B664" s="84" t="n"/>
    </row>
    <row r="665">
      <c r="B665" s="84" t="n"/>
    </row>
    <row r="666">
      <c r="B666" s="84" t="n"/>
    </row>
    <row r="667">
      <c r="B667" s="84" t="n"/>
    </row>
    <row r="668">
      <c r="B668" s="84" t="n"/>
    </row>
    <row r="669">
      <c r="B669" s="84" t="n"/>
    </row>
    <row r="670">
      <c r="B670" s="84" t="n"/>
    </row>
    <row r="671">
      <c r="B671" s="84" t="n"/>
    </row>
    <row r="672">
      <c r="B672" s="84" t="n"/>
    </row>
    <row r="673">
      <c r="B673" s="84" t="n"/>
    </row>
    <row r="674">
      <c r="B674" s="84" t="n"/>
    </row>
    <row r="675">
      <c r="B675" s="84" t="n"/>
    </row>
    <row r="676">
      <c r="B676" s="84" t="n"/>
    </row>
    <row r="677">
      <c r="B677" s="84" t="n"/>
    </row>
    <row r="678">
      <c r="B678" s="84" t="n"/>
    </row>
    <row r="679">
      <c r="B679" s="84" t="n"/>
    </row>
    <row r="680">
      <c r="B680" s="84" t="n"/>
    </row>
    <row r="681">
      <c r="B681" s="84" t="n"/>
    </row>
    <row r="682">
      <c r="B682" s="84" t="n"/>
    </row>
    <row r="683">
      <c r="B683" s="84" t="n"/>
    </row>
    <row r="684">
      <c r="B684" s="84" t="n"/>
    </row>
    <row r="685">
      <c r="B685" s="84" t="n"/>
    </row>
    <row r="686">
      <c r="B686" s="84" t="n"/>
    </row>
    <row r="687">
      <c r="B687" s="84" t="n"/>
    </row>
    <row r="688">
      <c r="B688" s="84" t="n"/>
    </row>
    <row r="689">
      <c r="B689" s="84" t="n"/>
    </row>
    <row r="690">
      <c r="B690" s="84" t="n"/>
    </row>
    <row r="691">
      <c r="B691" s="84" t="n"/>
    </row>
    <row r="692">
      <c r="B692" s="84" t="n"/>
    </row>
    <row r="693">
      <c r="B693" s="84" t="n"/>
    </row>
    <row r="694">
      <c r="B694" s="84" t="n"/>
    </row>
    <row r="695">
      <c r="B695" s="84" t="n"/>
    </row>
    <row r="696">
      <c r="B696" s="84" t="n"/>
    </row>
    <row r="697">
      <c r="B697" s="84" t="n"/>
    </row>
    <row r="698">
      <c r="B698" s="84" t="n"/>
    </row>
    <row r="699">
      <c r="B699" s="84" t="n"/>
    </row>
    <row r="700">
      <c r="B700" s="84" t="n"/>
    </row>
    <row r="701">
      <c r="B701" s="84" t="n"/>
    </row>
    <row r="702">
      <c r="B702" s="84" t="n"/>
    </row>
    <row r="703">
      <c r="B703" s="84" t="n"/>
    </row>
    <row r="704">
      <c r="B704" s="84" t="n"/>
    </row>
    <row r="705">
      <c r="B705" s="84" t="n"/>
    </row>
    <row r="706">
      <c r="B706" s="84" t="n"/>
    </row>
    <row r="707">
      <c r="B707" s="84" t="n"/>
    </row>
    <row r="708">
      <c r="B708" s="84" t="n"/>
    </row>
    <row r="709">
      <c r="B709" s="84" t="n"/>
    </row>
    <row r="710">
      <c r="B710" s="84" t="n"/>
    </row>
    <row r="711">
      <c r="B711" s="84" t="n"/>
    </row>
    <row r="712">
      <c r="B712" s="84" t="n"/>
    </row>
    <row r="713">
      <c r="B713" s="84" t="n"/>
    </row>
    <row r="714">
      <c r="B714" s="84" t="n"/>
    </row>
    <row r="715">
      <c r="B715" s="84" t="n"/>
    </row>
    <row r="716">
      <c r="B716" s="84" t="n"/>
    </row>
    <row r="717">
      <c r="B717" s="84" t="n"/>
    </row>
    <row r="718">
      <c r="B718" s="84" t="n"/>
    </row>
    <row r="719">
      <c r="B719" s="84" t="n"/>
    </row>
    <row r="720">
      <c r="B720" s="84" t="n"/>
    </row>
    <row r="721">
      <c r="B721" s="84" t="n"/>
    </row>
    <row r="722">
      <c r="B722" s="84" t="n"/>
    </row>
    <row r="723">
      <c r="B723" s="84" t="n"/>
    </row>
    <row r="724">
      <c r="B724" s="84" t="n"/>
    </row>
    <row r="725">
      <c r="B725" s="84" t="n"/>
    </row>
    <row r="726">
      <c r="B726" s="84" t="n"/>
    </row>
    <row r="727">
      <c r="B727" s="84" t="n"/>
    </row>
    <row r="728">
      <c r="B728" s="84" t="n"/>
    </row>
    <row r="729">
      <c r="B729" s="84" t="n"/>
    </row>
    <row r="730">
      <c r="B730" s="84" t="n"/>
    </row>
    <row r="731">
      <c r="B731" s="84" t="n"/>
    </row>
    <row r="732">
      <c r="B732" s="84" t="n"/>
    </row>
    <row r="733">
      <c r="B733" s="84" t="n"/>
    </row>
    <row r="734">
      <c r="B734" s="84" t="n"/>
    </row>
    <row r="735">
      <c r="B735" s="84" t="n"/>
    </row>
    <row r="736">
      <c r="B736" s="84" t="n"/>
    </row>
    <row r="737">
      <c r="B737" s="84" t="n"/>
    </row>
    <row r="738">
      <c r="B738" s="84" t="n"/>
    </row>
    <row r="739">
      <c r="B739" s="84" t="n"/>
    </row>
    <row r="740">
      <c r="B740" s="84" t="n"/>
    </row>
    <row r="741">
      <c r="B741" s="84" t="n"/>
    </row>
    <row r="742">
      <c r="B742" s="84" t="n"/>
    </row>
    <row r="743">
      <c r="B743" s="84" t="n"/>
    </row>
    <row r="744">
      <c r="B744" s="84" t="n"/>
    </row>
    <row r="745">
      <c r="B745" s="84" t="n"/>
    </row>
    <row r="746">
      <c r="B746" s="84" t="n"/>
    </row>
    <row r="747">
      <c r="B747" s="84" t="n"/>
    </row>
    <row r="748">
      <c r="B748" s="84" t="n"/>
    </row>
    <row r="749">
      <c r="B749" s="84" t="n"/>
    </row>
    <row r="750">
      <c r="B750" s="84" t="n"/>
    </row>
    <row r="751">
      <c r="B751" s="84" t="n"/>
    </row>
    <row r="752">
      <c r="B752" s="84" t="n"/>
    </row>
    <row r="753">
      <c r="B753" s="84" t="n"/>
    </row>
    <row r="754">
      <c r="B754" s="84" t="n"/>
    </row>
    <row r="755">
      <c r="B755" s="84" t="n"/>
    </row>
    <row r="756">
      <c r="B756" s="84" t="n"/>
    </row>
    <row r="757">
      <c r="B757" s="84" t="n"/>
    </row>
    <row r="758">
      <c r="B758" s="84" t="n"/>
    </row>
    <row r="759">
      <c r="B759" s="84" t="n"/>
    </row>
    <row r="760">
      <c r="B760" s="84" t="n"/>
    </row>
    <row r="761">
      <c r="B761" s="84" t="n"/>
    </row>
    <row r="762">
      <c r="B762" s="84" t="n"/>
    </row>
    <row r="763">
      <c r="B763" s="84" t="n"/>
    </row>
    <row r="764">
      <c r="B764" s="84" t="n"/>
    </row>
    <row r="765">
      <c r="B765" s="84" t="n"/>
    </row>
    <row r="766">
      <c r="B766" s="84" t="n"/>
    </row>
    <row r="767">
      <c r="B767" s="84" t="n"/>
    </row>
    <row r="768">
      <c r="B768" s="84" t="n"/>
    </row>
    <row r="769">
      <c r="B769" s="84" t="n"/>
    </row>
    <row r="770">
      <c r="B770" s="84" t="n"/>
    </row>
    <row r="771">
      <c r="B771" s="84" t="n"/>
    </row>
    <row r="772">
      <c r="B772" s="84" t="n"/>
    </row>
    <row r="773">
      <c r="B773" s="84" t="n"/>
    </row>
    <row r="774">
      <c r="B774" s="84" t="n"/>
    </row>
    <row r="775">
      <c r="B775" s="84" t="n"/>
    </row>
    <row r="776">
      <c r="B776" s="84" t="n"/>
    </row>
    <row r="777">
      <c r="B777" s="84" t="n"/>
    </row>
    <row r="778">
      <c r="B778" s="84" t="n"/>
    </row>
    <row r="779">
      <c r="B779" s="84" t="n"/>
    </row>
    <row r="780">
      <c r="B780" s="84" t="n"/>
    </row>
    <row r="781">
      <c r="B781" s="84" t="n"/>
    </row>
    <row r="782">
      <c r="B782" s="84" t="n"/>
    </row>
    <row r="783">
      <c r="B783" s="84" t="n"/>
    </row>
    <row r="784">
      <c r="B784" s="84" t="n"/>
    </row>
    <row r="785">
      <c r="B785" s="84" t="n"/>
    </row>
    <row r="786">
      <c r="B786" s="84" t="n"/>
    </row>
    <row r="787">
      <c r="B787" s="84" t="n"/>
    </row>
    <row r="788">
      <c r="B788" s="84" t="n"/>
    </row>
    <row r="789">
      <c r="B789" s="84" t="n"/>
    </row>
    <row r="790">
      <c r="B790" s="84" t="n"/>
    </row>
    <row r="791">
      <c r="B791" s="84" t="n"/>
    </row>
    <row r="792">
      <c r="B792" s="84" t="n"/>
    </row>
    <row r="793">
      <c r="B793" s="84" t="n"/>
    </row>
    <row r="794">
      <c r="B794" s="84" t="n"/>
    </row>
    <row r="795">
      <c r="B795" s="84" t="n"/>
    </row>
    <row r="796">
      <c r="B796" s="84" t="n"/>
    </row>
    <row r="797">
      <c r="B797" s="84" t="n"/>
    </row>
    <row r="798">
      <c r="B798" s="84" t="n"/>
    </row>
    <row r="799">
      <c r="B799" s="84" t="n"/>
    </row>
    <row r="800">
      <c r="B800" s="84" t="n"/>
    </row>
    <row r="801">
      <c r="B801" s="84" t="n"/>
    </row>
    <row r="802">
      <c r="B802" s="84" t="n"/>
    </row>
    <row r="803">
      <c r="B803" s="84" t="n"/>
    </row>
    <row r="804">
      <c r="B804" s="84" t="n"/>
    </row>
    <row r="805">
      <c r="B805" s="84" t="n"/>
    </row>
    <row r="806">
      <c r="B806" s="84" t="n"/>
    </row>
    <row r="807">
      <c r="B807" s="84" t="n"/>
    </row>
    <row r="808">
      <c r="B808" s="84" t="n"/>
    </row>
    <row r="809">
      <c r="B809" s="84" t="n"/>
    </row>
    <row r="810">
      <c r="B810" s="84" t="n"/>
    </row>
    <row r="811">
      <c r="B811" s="84" t="n"/>
    </row>
    <row r="812">
      <c r="B812" s="84" t="n"/>
    </row>
    <row r="813">
      <c r="B813" s="84" t="n"/>
    </row>
    <row r="814">
      <c r="B814" s="84" t="n"/>
    </row>
    <row r="815">
      <c r="B815" s="84" t="n"/>
    </row>
    <row r="816">
      <c r="B816" s="84" t="n"/>
    </row>
    <row r="817">
      <c r="B817" s="84" t="n"/>
    </row>
    <row r="818">
      <c r="B818" s="84" t="n"/>
    </row>
    <row r="819">
      <c r="B819" s="84" t="n"/>
    </row>
    <row r="820">
      <c r="B820" s="84" t="n"/>
    </row>
    <row r="821">
      <c r="B821" s="84" t="n"/>
    </row>
    <row r="822">
      <c r="B822" s="84" t="n"/>
    </row>
    <row r="823">
      <c r="B823" s="84" t="n"/>
    </row>
    <row r="824">
      <c r="B824" s="84" t="n"/>
    </row>
    <row r="825">
      <c r="B825" s="84" t="n"/>
    </row>
    <row r="826">
      <c r="B826" s="84" t="n"/>
    </row>
    <row r="827">
      <c r="B827" s="84" t="n"/>
    </row>
    <row r="828">
      <c r="B828" s="84" t="n"/>
    </row>
    <row r="829">
      <c r="B829" s="84" t="n"/>
    </row>
    <row r="830">
      <c r="B830" s="84" t="n"/>
    </row>
    <row r="831">
      <c r="B831" s="84" t="n"/>
    </row>
    <row r="832">
      <c r="B832" s="84" t="n"/>
    </row>
    <row r="833">
      <c r="B833" s="84" t="n"/>
    </row>
    <row r="834">
      <c r="B834" s="84" t="n"/>
    </row>
    <row r="835">
      <c r="B835" s="84" t="n"/>
    </row>
    <row r="836">
      <c r="B836" s="84" t="n"/>
    </row>
    <row r="837">
      <c r="B837" s="84" t="n"/>
    </row>
    <row r="838">
      <c r="B838" s="84" t="n"/>
    </row>
    <row r="839">
      <c r="B839" s="84" t="n"/>
    </row>
    <row r="840">
      <c r="B840" s="84" t="n"/>
    </row>
    <row r="841">
      <c r="B841" s="84" t="n"/>
    </row>
    <row r="842">
      <c r="B842" s="84" t="n"/>
    </row>
    <row r="843">
      <c r="B843" s="84" t="n"/>
    </row>
    <row r="844">
      <c r="B844" s="84" t="n"/>
    </row>
    <row r="845">
      <c r="B845" s="84" t="n"/>
    </row>
    <row r="846">
      <c r="B846" s="84" t="n"/>
    </row>
    <row r="847">
      <c r="B847" s="84" t="n"/>
    </row>
    <row r="848">
      <c r="B848" s="84" t="n"/>
    </row>
    <row r="849">
      <c r="B849" s="84" t="n"/>
    </row>
    <row r="850">
      <c r="B850" s="84" t="n"/>
    </row>
    <row r="851">
      <c r="B851" s="84" t="n"/>
    </row>
    <row r="852">
      <c r="B852" s="84" t="n"/>
    </row>
    <row r="853">
      <c r="B853" s="84" t="n"/>
    </row>
    <row r="854">
      <c r="B854" s="84" t="n"/>
    </row>
    <row r="855">
      <c r="B855" s="84" t="n"/>
    </row>
    <row r="856">
      <c r="B856" s="84" t="n"/>
    </row>
    <row r="857">
      <c r="B857" s="84" t="n"/>
    </row>
    <row r="858">
      <c r="B858" s="84" t="n"/>
    </row>
    <row r="859">
      <c r="B859" s="84" t="n"/>
    </row>
    <row r="860">
      <c r="B860" s="84" t="n"/>
    </row>
    <row r="861">
      <c r="B861" s="84" t="n"/>
    </row>
    <row r="862">
      <c r="B862" s="84" t="n"/>
    </row>
    <row r="863">
      <c r="B863" s="84" t="n"/>
    </row>
    <row r="864">
      <c r="B864" s="84" t="n"/>
    </row>
    <row r="865">
      <c r="B865" s="84" t="n"/>
    </row>
    <row r="866">
      <c r="B866" s="84" t="n"/>
    </row>
    <row r="867">
      <c r="B867" s="84" t="n"/>
    </row>
    <row r="868">
      <c r="B868" s="84" t="n"/>
    </row>
    <row r="869">
      <c r="B869" s="84" t="n"/>
    </row>
    <row r="870">
      <c r="B870" s="84" t="n"/>
    </row>
    <row r="871">
      <c r="B871" s="84" t="n"/>
    </row>
    <row r="872">
      <c r="B872" s="84" t="n"/>
    </row>
    <row r="873">
      <c r="B873" s="84" t="n"/>
    </row>
    <row r="874">
      <c r="B874" s="84" t="n"/>
    </row>
    <row r="875">
      <c r="B875" s="84" t="n"/>
    </row>
    <row r="876">
      <c r="B876" s="84" t="n"/>
    </row>
    <row r="877">
      <c r="B877" s="84" t="n"/>
    </row>
    <row r="878">
      <c r="B878" s="84" t="n"/>
    </row>
    <row r="879">
      <c r="B879" s="84" t="n"/>
    </row>
    <row r="880">
      <c r="B880" s="84" t="n"/>
    </row>
    <row r="881">
      <c r="B881" s="84" t="n"/>
    </row>
    <row r="882">
      <c r="B882" s="84" t="n"/>
    </row>
    <row r="883">
      <c r="B883" s="84" t="n"/>
    </row>
    <row r="884">
      <c r="B884" s="84" t="n"/>
    </row>
    <row r="885">
      <c r="B885" s="84" t="n"/>
    </row>
    <row r="886">
      <c r="B886" s="84" t="n"/>
    </row>
    <row r="887">
      <c r="B887" s="84" t="n"/>
    </row>
    <row r="888">
      <c r="B888" s="84" t="n"/>
    </row>
    <row r="889">
      <c r="B889" s="84" t="n"/>
    </row>
    <row r="890">
      <c r="B890" s="84" t="n"/>
    </row>
    <row r="891">
      <c r="B891" s="84" t="n"/>
    </row>
    <row r="892">
      <c r="B892" s="84" t="n"/>
    </row>
    <row r="893">
      <c r="B893" s="84" t="n"/>
    </row>
    <row r="894">
      <c r="B894" s="84" t="n"/>
    </row>
    <row r="895">
      <c r="B895" s="84" t="n"/>
    </row>
    <row r="896">
      <c r="B896" s="84" t="n"/>
    </row>
    <row r="897">
      <c r="B897" s="84" t="n"/>
    </row>
    <row r="898">
      <c r="B898" s="84" t="n"/>
    </row>
    <row r="899">
      <c r="B899" s="84" t="n"/>
    </row>
    <row r="900">
      <c r="B900" s="84" t="n"/>
    </row>
    <row r="901">
      <c r="B901" s="84" t="n"/>
    </row>
    <row r="902">
      <c r="B902" s="84" t="n"/>
    </row>
    <row r="903">
      <c r="B903" s="84" t="n"/>
    </row>
    <row r="904">
      <c r="B904" s="84" t="n"/>
    </row>
    <row r="905">
      <c r="B905" s="84" t="n"/>
    </row>
    <row r="906">
      <c r="B906" s="84" t="n"/>
    </row>
    <row r="907">
      <c r="B907" s="84" t="n"/>
    </row>
    <row r="908">
      <c r="B908" s="84" t="n"/>
    </row>
    <row r="909">
      <c r="B909" s="84" t="n"/>
    </row>
    <row r="910">
      <c r="B910" s="84" t="n"/>
    </row>
    <row r="911">
      <c r="B911" s="84" t="n"/>
    </row>
    <row r="912">
      <c r="B912" s="84" t="n"/>
    </row>
    <row r="913">
      <c r="B913" s="84" t="n"/>
    </row>
    <row r="914">
      <c r="B914" s="84" t="n"/>
    </row>
    <row r="915">
      <c r="B915" s="84" t="n"/>
    </row>
    <row r="916">
      <c r="B916" s="84" t="n"/>
    </row>
    <row r="917">
      <c r="B917" s="84" t="n"/>
    </row>
    <row r="918">
      <c r="B918" s="84" t="n"/>
    </row>
    <row r="919">
      <c r="B919" s="84" t="n"/>
    </row>
    <row r="920">
      <c r="B920" s="84" t="n"/>
    </row>
    <row r="921">
      <c r="B921" s="84" t="n"/>
    </row>
    <row r="922">
      <c r="B922" s="84" t="n"/>
    </row>
    <row r="923">
      <c r="B923" s="84" t="n"/>
    </row>
    <row r="924">
      <c r="B924" s="84" t="n"/>
    </row>
    <row r="925">
      <c r="B925" s="84" t="n"/>
    </row>
    <row r="926">
      <c r="B926" s="84" t="n"/>
    </row>
    <row r="927">
      <c r="B927" s="84" t="n"/>
    </row>
    <row r="928">
      <c r="B928" s="84" t="n"/>
    </row>
    <row r="929">
      <c r="B929" s="84" t="n"/>
    </row>
    <row r="930">
      <c r="B930" s="84" t="n"/>
    </row>
    <row r="931">
      <c r="B931" s="84" t="n"/>
    </row>
    <row r="932">
      <c r="B932" s="84" t="n"/>
    </row>
    <row r="933">
      <c r="B933" s="84" t="n"/>
    </row>
    <row r="934">
      <c r="B934" s="84" t="n"/>
    </row>
    <row r="935">
      <c r="B935" s="84" t="n"/>
    </row>
    <row r="936">
      <c r="B936" s="84" t="n"/>
    </row>
    <row r="937">
      <c r="B937" s="84" t="n"/>
    </row>
    <row r="938">
      <c r="B938" s="84" t="n"/>
    </row>
    <row r="939">
      <c r="B939" s="84" t="n"/>
    </row>
    <row r="940">
      <c r="B940" s="84" t="n"/>
    </row>
    <row r="941">
      <c r="B941" s="84" t="n"/>
    </row>
    <row r="942">
      <c r="B942" s="84" t="n"/>
    </row>
    <row r="943">
      <c r="B943" s="84" t="n"/>
    </row>
    <row r="944">
      <c r="B944" s="84" t="n"/>
    </row>
    <row r="945">
      <c r="B945" s="84" t="n"/>
    </row>
    <row r="946">
      <c r="B946" s="84" t="n"/>
    </row>
    <row r="947">
      <c r="B947" s="84" t="n"/>
    </row>
    <row r="948">
      <c r="B948" s="84" t="n"/>
    </row>
    <row r="949">
      <c r="B949" s="84" t="n"/>
    </row>
    <row r="950">
      <c r="B950" s="84" t="n"/>
    </row>
    <row r="951">
      <c r="B951" s="84" t="n"/>
    </row>
    <row r="952">
      <c r="B952" s="84" t="n"/>
    </row>
    <row r="953">
      <c r="B953" s="84" t="n"/>
    </row>
    <row r="954">
      <c r="B954" s="84" t="n"/>
    </row>
    <row r="955">
      <c r="B955" s="84" t="n"/>
    </row>
    <row r="956">
      <c r="B956" s="84" t="n"/>
    </row>
    <row r="957">
      <c r="B957" s="84" t="n"/>
    </row>
    <row r="958">
      <c r="B958" s="84" t="n"/>
    </row>
    <row r="959">
      <c r="B959" s="84" t="n"/>
    </row>
    <row r="960">
      <c r="B960" s="84" t="n"/>
    </row>
    <row r="961">
      <c r="B961" s="84" t="n"/>
    </row>
    <row r="962">
      <c r="B962" s="84" t="n"/>
    </row>
    <row r="963">
      <c r="B963" s="84" t="n"/>
    </row>
    <row r="964">
      <c r="B964" s="84" t="n"/>
    </row>
    <row r="965">
      <c r="B965" s="84" t="n"/>
    </row>
    <row r="966">
      <c r="B966" s="84" t="n"/>
    </row>
    <row r="967">
      <c r="B967" s="84" t="n"/>
    </row>
    <row r="968">
      <c r="B968" s="84" t="n"/>
    </row>
    <row r="969">
      <c r="B969" s="84" t="n"/>
    </row>
    <row r="970">
      <c r="B970" s="84" t="n"/>
    </row>
    <row r="971">
      <c r="B971" s="84" t="n"/>
    </row>
    <row r="972">
      <c r="B972" s="84" t="n"/>
    </row>
    <row r="973">
      <c r="B973" s="84" t="n"/>
    </row>
    <row r="974">
      <c r="B974" s="84" t="n"/>
    </row>
    <row r="975">
      <c r="B975" s="84" t="n"/>
    </row>
    <row r="976">
      <c r="B976" s="84" t="n"/>
    </row>
    <row r="977">
      <c r="B977" s="84" t="n"/>
    </row>
    <row r="978">
      <c r="B978" s="84" t="n"/>
    </row>
    <row r="979">
      <c r="B979" s="84" t="n"/>
    </row>
    <row r="980">
      <c r="B980" s="84" t="n"/>
    </row>
    <row r="981">
      <c r="B981" s="84" t="n"/>
    </row>
    <row r="982">
      <c r="B982" s="84" t="n"/>
    </row>
    <row r="983">
      <c r="B983" s="84" t="n"/>
    </row>
    <row r="984">
      <c r="B984" s="84" t="n"/>
    </row>
    <row r="985">
      <c r="B985" s="84" t="n"/>
    </row>
    <row r="986">
      <c r="B986" s="84" t="n"/>
    </row>
    <row r="987">
      <c r="B987" s="84" t="n"/>
    </row>
    <row r="988">
      <c r="B988" s="84" t="n"/>
    </row>
    <row r="989">
      <c r="B989" s="84" t="n"/>
    </row>
    <row r="990">
      <c r="B990" s="84" t="n"/>
    </row>
    <row r="991">
      <c r="B991" s="84" t="n"/>
    </row>
    <row r="992">
      <c r="B992" s="84" t="n"/>
    </row>
    <row r="993">
      <c r="B993" s="84" t="n"/>
    </row>
    <row r="994">
      <c r="B994" s="84" t="n"/>
    </row>
    <row r="995">
      <c r="B995" s="84" t="n"/>
    </row>
    <row r="996">
      <c r="B996" s="84" t="n"/>
    </row>
  </sheetData>
  <mergeCells count="21">
    <mergeCell ref="D18:G18"/>
    <mergeCell ref="I15:J15"/>
    <mergeCell ref="D25:G25"/>
    <mergeCell ref="D24:G24"/>
    <mergeCell ref="S3:T3"/>
    <mergeCell ref="D23:G23"/>
    <mergeCell ref="D26:G26"/>
    <mergeCell ref="K3:N3"/>
    <mergeCell ref="D20:G20"/>
    <mergeCell ref="O3:R3"/>
    <mergeCell ref="D19:G19"/>
    <mergeCell ref="K15:N15"/>
    <mergeCell ref="O15:R15"/>
    <mergeCell ref="I3:J3"/>
    <mergeCell ref="D22:G22"/>
    <mergeCell ref="S15:T15"/>
    <mergeCell ref="D21:G21"/>
    <mergeCell ref="D27:G27"/>
    <mergeCell ref="D17:G17"/>
    <mergeCell ref="D16:G16"/>
    <mergeCell ref="D28:G28"/>
  </mergeCells>
  <pageMargins left="0.7" right="0.7" top="0.75" bottom="0.75" header="0" footer="0"/>
  <pageSetup orientation="portrait"/>
</worksheet>
</file>

<file path=xl/worksheets/sheet16.xml><?xml version="1.0" encoding="utf-8"?>
<worksheet xmlns="http://schemas.openxmlformats.org/spreadsheetml/2006/main">
  <sheetPr>
    <outlinePr summaryBelow="1" summaryRight="1"/>
    <pageSetUpPr/>
  </sheetPr>
  <dimension ref="A1:T41"/>
  <sheetViews>
    <sheetView showGridLines="0" workbookViewId="0">
      <selection activeCell="A1" sqref="A1"/>
    </sheetView>
  </sheetViews>
  <sheetFormatPr baseColWidth="8" defaultColWidth="14.42578125" defaultRowHeight="15" customHeight="1" outlineLevelRow="1"/>
  <cols>
    <col width="17.42578125" customWidth="1" style="802" min="1" max="1"/>
    <col width="29.140625" customWidth="1" style="802" min="2" max="2"/>
    <col width="24.2851562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15" customHeight="1" s="802">
      <c r="A1" s="1" t="inlineStr">
        <is>
          <t>Delta Incremental Costs</t>
        </is>
      </c>
    </row>
    <row r="2">
      <c r="I2" s="28" t="n"/>
      <c r="J2" s="6" t="n"/>
      <c r="K2" s="28" t="n"/>
      <c r="L2" s="28" t="n"/>
      <c r="M2" s="28" t="n"/>
      <c r="N2" s="6" t="n"/>
      <c r="O2" s="28" t="n"/>
      <c r="P2" s="28" t="n"/>
      <c r="Q2" s="28" t="n"/>
      <c r="R2" s="6" t="n"/>
      <c r="S2" s="28" t="n"/>
      <c r="T2" s="28" t="n"/>
    </row>
    <row r="3" ht="1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outlineLevel="1"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c r="A6" s="27" t="n"/>
      <c r="B6" s="27" t="n"/>
      <c r="C6" s="45" t="n"/>
      <c r="D6" s="46" t="n"/>
      <c r="E6" s="37" t="n"/>
      <c r="F6" s="27" t="n"/>
      <c r="G6" s="1093" t="n"/>
      <c r="H6" s="1094" t="n"/>
      <c r="I6" s="1095" t="n"/>
      <c r="J6" s="1095" t="n"/>
      <c r="K6" s="1095" t="n"/>
      <c r="L6" s="1095" t="n"/>
      <c r="M6" s="1095" t="n"/>
      <c r="N6" s="1095" t="n"/>
      <c r="O6" s="1095" t="n"/>
      <c r="P6" s="1095" t="n"/>
      <c r="Q6" s="1095" t="n"/>
      <c r="R6" s="1095" t="n"/>
      <c r="S6" s="1095" t="n"/>
      <c r="T6" s="28" t="n"/>
    </row>
    <row r="7">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 r="B26" s="28" t="n"/>
      <c r="C26" s="28" t="n"/>
      <c r="D26" s="28" t="n"/>
      <c r="E26" s="28" t="n"/>
      <c r="F26" s="28" t="n"/>
      <c r="G26" s="28" t="n"/>
      <c r="H26" s="28" t="n"/>
      <c r="I26" s="28" t="n"/>
      <c r="J26" s="28" t="n"/>
      <c r="K26" s="28" t="n"/>
      <c r="L26" s="28" t="n"/>
      <c r="M26" s="28" t="n"/>
      <c r="N26" s="28" t="n"/>
      <c r="O26" s="28" t="n"/>
      <c r="P26" s="28" t="n"/>
      <c r="Q26" s="28" t="n"/>
      <c r="R26" s="28" t="n"/>
      <c r="S26" s="28" t="n"/>
    </row>
    <row r="27" ht="1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inlineStr">
        <is>
          <t>Ryan Krems</t>
        </is>
      </c>
      <c r="B29" s="77" t="inlineStr">
        <is>
          <t>Product</t>
        </is>
      </c>
      <c r="C29" s="77" t="inlineStr">
        <is>
          <t>Recruiting Budget</t>
        </is>
      </c>
      <c r="D29" s="799" t="inlineStr">
        <is>
          <t>Need to get new-hires on-board</t>
        </is>
      </c>
      <c r="E29" s="1103" t="n"/>
      <c r="F29" s="1103" t="n"/>
      <c r="G29" s="1138" t="inlineStr">
        <is>
          <t>2 months of average salary above</t>
        </is>
      </c>
      <c r="H29" s="1102" t="n"/>
      <c r="I29" s="1102" t="n"/>
      <c r="J29" s="1102" t="n"/>
      <c r="K29" s="1102" t="n"/>
      <c r="L29" s="1102" t="n"/>
      <c r="M29" s="1102" t="n"/>
      <c r="N29" s="1102" t="n"/>
      <c r="O29" s="1102" t="n"/>
      <c r="P29" s="1102" t="n"/>
      <c r="Q29" s="1102" t="n"/>
      <c r="R29" s="1102" t="n"/>
      <c r="S29" s="1102" t="n"/>
    </row>
    <row r="30">
      <c r="A30" s="77" t="n"/>
      <c r="B30" s="77" t="n"/>
      <c r="C30" s="77" t="n"/>
      <c r="D30" s="77" t="n"/>
      <c r="E30" s="1103" t="n"/>
      <c r="F30" s="1104" t="n"/>
      <c r="G30" s="1100" t="n"/>
      <c r="H30" s="1101" t="n"/>
      <c r="I30" s="1102" t="n"/>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17.xml><?xml version="1.0" encoding="utf-8"?>
<worksheet xmlns="http://schemas.openxmlformats.org/spreadsheetml/2006/main">
  <sheetPr>
    <outlinePr summaryBelow="1" summaryRight="1"/>
    <pageSetUpPr/>
  </sheetPr>
  <dimension ref="A1:T41"/>
  <sheetViews>
    <sheetView showGridLines="0" workbookViewId="0">
      <selection activeCell="A1" sqref="A1"/>
    </sheetView>
  </sheetViews>
  <sheetFormatPr baseColWidth="8" defaultColWidth="14.42578125" defaultRowHeight="15" customHeight="1" outlineLevelRow="1"/>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1"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c r="A8" s="77" t="n"/>
      <c r="B8" s="77" t="inlineStr">
        <is>
          <t>Nish Jain: NONE EXPECTED</t>
        </is>
      </c>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n"/>
      <c r="B29" s="77" t="n"/>
      <c r="C29" s="77" t="n"/>
      <c r="D29" s="77" t="n"/>
      <c r="E29" s="1103" t="n"/>
      <c r="F29" s="1104" t="n"/>
      <c r="G29" s="1100" t="n"/>
      <c r="H29" s="1101" t="n"/>
      <c r="I29" s="1102" t="n"/>
      <c r="J29" s="1102" t="n"/>
      <c r="K29" s="1102" t="n"/>
      <c r="L29" s="1102" t="n"/>
      <c r="M29" s="1102" t="n"/>
      <c r="N29" s="1102" t="n"/>
      <c r="O29" s="1102" t="n"/>
      <c r="P29" s="1102" t="n"/>
      <c r="Q29" s="1102" t="n"/>
      <c r="R29" s="1102" t="n"/>
      <c r="S29" s="1102" t="n"/>
    </row>
    <row r="30">
      <c r="A30" s="77" t="n"/>
      <c r="B30" s="77" t="n"/>
      <c r="C30" s="77" t="n"/>
      <c r="D30" s="77" t="n"/>
      <c r="E30" s="1103" t="n"/>
      <c r="F30" s="1104" t="n"/>
      <c r="G30" s="1100" t="n"/>
      <c r="H30" s="1101" t="n"/>
      <c r="I30" s="1102" t="n"/>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18.xml><?xml version="1.0" encoding="utf-8"?>
<worksheet xmlns="http://schemas.openxmlformats.org/spreadsheetml/2006/main">
  <sheetPr>
    <outlinePr summaryBelow="1" summaryRight="1"/>
    <pageSetUpPr/>
  </sheetPr>
  <dimension ref="A1:T41"/>
  <sheetViews>
    <sheetView showGridLines="0" workbookViewId="0">
      <selection activeCell="A1" sqref="A1"/>
    </sheetView>
  </sheetViews>
  <sheetFormatPr baseColWidth="8" defaultColWidth="14.42578125" defaultRowHeight="15" customHeight="1" outlineLevelRow="1"/>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1"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n"/>
      <c r="B29" s="77" t="n"/>
      <c r="C29" s="77" t="n"/>
      <c r="D29" s="77" t="n"/>
      <c r="E29" s="1103" t="n"/>
      <c r="F29" s="1104" t="n"/>
      <c r="G29" s="1100" t="n"/>
      <c r="H29" s="1101" t="n"/>
      <c r="I29" s="1102" t="n"/>
      <c r="J29" s="1102" t="n"/>
      <c r="K29" s="1102" t="n"/>
      <c r="L29" s="1102" t="n"/>
      <c r="M29" s="1102" t="n"/>
      <c r="N29" s="1102" t="n"/>
      <c r="O29" s="1102" t="n"/>
      <c r="P29" s="1102" t="n"/>
      <c r="Q29" s="1102" t="n"/>
      <c r="R29" s="1102" t="n"/>
      <c r="S29" s="1102" t="n"/>
    </row>
    <row r="30">
      <c r="A30" s="77" t="n"/>
      <c r="B30" s="77" t="n"/>
      <c r="C30" s="77" t="n"/>
      <c r="D30" s="77" t="n"/>
      <c r="E30" s="1103" t="n"/>
      <c r="F30" s="1104" t="n"/>
      <c r="G30" s="1100" t="n"/>
      <c r="H30" s="1101" t="n"/>
      <c r="I30" s="1102" t="n"/>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19.xml><?xml version="1.0" encoding="utf-8"?>
<worksheet xmlns="http://schemas.openxmlformats.org/spreadsheetml/2006/main">
  <sheetPr>
    <outlinePr summaryBelow="1" summaryRight="1"/>
    <pageSetUpPr/>
  </sheetPr>
  <dimension ref="A1:T43"/>
  <sheetViews>
    <sheetView showGridLines="0" zoomScale="90" zoomScaleNormal="90" workbookViewId="0">
      <selection activeCell="A1" sqref="A1"/>
    </sheetView>
  </sheetViews>
  <sheetFormatPr baseColWidth="8" defaultColWidth="14.42578125" defaultRowHeight="15" customHeight="1" outlineLevelRow="1"/>
  <cols>
    <col width="34.140625" customWidth="1" style="802" min="1" max="1"/>
    <col width="29.140625" customWidth="1" style="802" min="2" max="2"/>
    <col width="25.71093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c r="C1" s="147" t="inlineStr">
        <is>
          <t>[Fri (9/20) - Financial model first review (1 of 2)]</t>
        </is>
      </c>
    </row>
    <row r="2">
      <c r="C2" s="147" t="n"/>
      <c r="I2" s="28" t="n"/>
      <c r="J2" s="6" t="n"/>
      <c r="K2" s="28" t="n"/>
      <c r="L2" s="28" t="n"/>
      <c r="M2" s="28" t="n"/>
      <c r="N2" s="6" t="n"/>
      <c r="O2" s="28" t="n"/>
      <c r="P2" s="28" t="n"/>
      <c r="Q2" s="28" t="n"/>
      <c r="R2" s="6" t="n"/>
      <c r="S2" s="28" t="n"/>
      <c r="T2" s="28" t="n"/>
    </row>
    <row r="3"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1"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119" t="inlineStr">
        <is>
          <t xml:space="preserve">Legal Counsel (External) </t>
        </is>
      </c>
      <c r="B29" s="77" t="n"/>
      <c r="C29" s="77" t="n"/>
      <c r="D29" s="77" t="n"/>
      <c r="E29" s="1103" t="n"/>
      <c r="F29" s="1104" t="n"/>
      <c r="G29" s="1100" t="n"/>
      <c r="H29" s="1101" t="n"/>
      <c r="I29" s="1102" t="n"/>
      <c r="J29" s="1102" t="n"/>
      <c r="K29" s="1102" t="n"/>
      <c r="L29" s="1102" t="n"/>
      <c r="M29" s="1102" t="n"/>
      <c r="N29" s="1102" t="n"/>
      <c r="O29" s="1102" t="n"/>
      <c r="P29" s="1102" t="n"/>
      <c r="Q29" s="1102" t="n"/>
      <c r="R29" s="1102" t="n"/>
      <c r="S29" s="1102" t="n"/>
    </row>
    <row r="30">
      <c r="A30" s="119" t="inlineStr">
        <is>
          <t xml:space="preserve">Blackduck Code Scan </t>
        </is>
      </c>
      <c r="B30" s="77" t="n"/>
      <c r="C30" s="77" t="n"/>
      <c r="D30" s="77" t="n"/>
      <c r="E30" s="1103" t="n"/>
      <c r="F30" s="1104" t="n"/>
      <c r="G30" s="1100" t="n"/>
      <c r="H30" s="1101" t="n"/>
      <c r="I30" s="1102" t="n"/>
      <c r="J30" s="1102" t="n"/>
      <c r="K30" s="1102" t="n"/>
      <c r="L30" s="1102" t="n"/>
      <c r="M30" s="1102" t="n"/>
      <c r="N30" s="1102" t="n"/>
      <c r="O30" s="1102" t="n"/>
      <c r="P30" s="1102" t="n"/>
      <c r="Q30" s="1102" t="n"/>
      <c r="R30" s="1102" t="n"/>
      <c r="S30" s="1102" t="n"/>
    </row>
    <row r="31">
      <c r="A31" s="119"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119"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119"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119"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119"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119"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119"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119"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119"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119"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A41" s="84" t="n"/>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row r="42">
      <c r="A42" s="84" t="n"/>
    </row>
    <row r="43">
      <c r="A43" s="84" t="n"/>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20.xml><?xml version="1.0" encoding="utf-8"?>
<worksheet xmlns="http://schemas.openxmlformats.org/spreadsheetml/2006/main">
  <sheetPr>
    <outlinePr summaryBelow="1" summaryRight="1"/>
    <pageSetUpPr/>
  </sheetPr>
  <dimension ref="A1:T41"/>
  <sheetViews>
    <sheetView showGridLines="0" workbookViewId="0">
      <selection activeCell="A1" sqref="A1"/>
    </sheetView>
  </sheetViews>
  <sheetFormatPr baseColWidth="8" defaultColWidth="14.42578125" defaultRowHeight="15" customHeight="1" outlineLevelRow="1"/>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1"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n"/>
      <c r="B29" s="77" t="n"/>
      <c r="C29" s="77" t="n"/>
      <c r="D29" s="77" t="n"/>
      <c r="E29" s="1103" t="n"/>
      <c r="F29" s="1104" t="n"/>
      <c r="G29" s="1100" t="n"/>
      <c r="H29" s="1101" t="n"/>
      <c r="I29" s="1102">
        <f>G29</f>
        <v/>
      </c>
      <c r="J29" s="1102" t="n"/>
      <c r="K29" s="1102" t="n"/>
      <c r="L29" s="1102" t="n"/>
      <c r="M29" s="1102" t="n"/>
      <c r="N29" s="1102" t="n"/>
      <c r="O29" s="1102" t="n"/>
      <c r="P29" s="1102" t="n"/>
      <c r="Q29" s="1102" t="n"/>
      <c r="R29" s="1102" t="n"/>
      <c r="S29" s="1102" t="n"/>
    </row>
    <row r="30">
      <c r="A30" s="77" t="n"/>
      <c r="B30" s="77" t="n"/>
      <c r="C30" s="77" t="n"/>
      <c r="D30" s="77" t="n"/>
      <c r="E30" s="1103" t="n"/>
      <c r="F30" s="1104" t="n"/>
      <c r="G30" s="1100" t="n"/>
      <c r="H30" s="1101" t="n"/>
      <c r="I30" s="1102">
        <f>G30</f>
        <v/>
      </c>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2">
        <f>G31</f>
        <v/>
      </c>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2">
        <f>G32</f>
        <v/>
      </c>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2">
        <f>G33</f>
        <v/>
      </c>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2">
        <f>G34</f>
        <v/>
      </c>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f>G35</f>
        <v/>
      </c>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f>G36</f>
        <v/>
      </c>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f>G37</f>
        <v/>
      </c>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f>G38</f>
        <v/>
      </c>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21.xml><?xml version="1.0" encoding="utf-8"?>
<worksheet xmlns="http://schemas.openxmlformats.org/spreadsheetml/2006/main">
  <sheetPr>
    <outlinePr summaryBelow="1" summaryRight="1"/>
    <pageSetUpPr/>
  </sheetPr>
  <dimension ref="A1:T41"/>
  <sheetViews>
    <sheetView showGridLines="0" workbookViewId="0">
      <selection activeCell="A1" sqref="A1"/>
    </sheetView>
  </sheetViews>
  <sheetFormatPr baseColWidth="8" defaultColWidth="14.42578125" defaultRowHeight="15" customHeight="1" outlineLevelRow="1"/>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1"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c r="A7" s="77" t="n"/>
      <c r="B7" s="77" t="inlineStr">
        <is>
          <t>Nish Jain: NONE EXPECTED</t>
        </is>
      </c>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n"/>
      <c r="B29" s="77" t="n"/>
      <c r="C29" s="77" t="n"/>
      <c r="D29" s="77" t="n"/>
      <c r="E29" s="1103" t="n"/>
      <c r="F29" s="1104" t="n"/>
      <c r="G29" s="1100" t="n"/>
      <c r="H29" s="1101" t="n"/>
      <c r="I29" s="1102" t="n"/>
      <c r="J29" s="1102" t="n"/>
      <c r="K29" s="1102" t="n"/>
      <c r="L29" s="1102" t="n"/>
      <c r="M29" s="1102" t="n"/>
      <c r="N29" s="1102" t="n"/>
      <c r="O29" s="1102" t="n"/>
      <c r="P29" s="1102" t="n"/>
      <c r="Q29" s="1102" t="n"/>
      <c r="R29" s="1102" t="n"/>
      <c r="S29" s="1102" t="n"/>
    </row>
    <row r="30">
      <c r="A30" s="77" t="n"/>
      <c r="B30" s="77" t="n"/>
      <c r="C30" s="77" t="n"/>
      <c r="D30" s="77" t="n"/>
      <c r="E30" s="1103" t="n"/>
      <c r="F30" s="1104" t="n"/>
      <c r="G30" s="1100" t="n"/>
      <c r="H30" s="1101" t="n"/>
      <c r="I30" s="1102" t="n"/>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22.xml><?xml version="1.0" encoding="utf-8"?>
<worksheet xmlns="http://schemas.openxmlformats.org/spreadsheetml/2006/main">
  <sheetPr>
    <outlinePr summaryBelow="1" summaryRight="1"/>
    <pageSetUpPr/>
  </sheetPr>
  <dimension ref="A1:T41"/>
  <sheetViews>
    <sheetView showGridLines="0" workbookViewId="0">
      <selection activeCell="A1" sqref="A1"/>
    </sheetView>
  </sheetViews>
  <sheetFormatPr baseColWidth="8" defaultColWidth="14.42578125" defaultRowHeight="15" customHeight="1" outlineLevelRow="1"/>
  <cols>
    <col width="17.42578125" customWidth="1" style="802" min="1" max="1"/>
    <col width="29.140625" customWidth="1" style="802" min="2" max="2"/>
    <col width="20.85546875" customWidth="1" style="802" min="3" max="3"/>
    <col width="20.7109375" customWidth="1" style="802" min="4" max="4"/>
    <col width="17.140625" customWidth="1" style="802" min="5" max="6"/>
    <col width="17.28515625" customWidth="1" style="802" min="7" max="7"/>
    <col width="9.85546875" customWidth="1" style="802" min="8" max="19"/>
    <col width="7.85546875" customWidth="1" style="802" min="20" max="20"/>
    <col width="15.85546875" customWidth="1" style="802" min="21" max="27"/>
  </cols>
  <sheetData>
    <row r="1" ht="23.25" customHeight="1" s="802">
      <c r="A1" s="1" t="inlineStr">
        <is>
          <t>Delta Incremental Costs</t>
        </is>
      </c>
    </row>
    <row r="2">
      <c r="I2" s="28" t="n"/>
      <c r="J2" s="6" t="n"/>
      <c r="K2" s="28" t="n"/>
      <c r="L2" s="28" t="n"/>
      <c r="M2" s="28" t="n"/>
      <c r="N2" s="6" t="n"/>
      <c r="O2" s="28" t="n"/>
      <c r="P2" s="28" t="n"/>
      <c r="Q2" s="28" t="n"/>
      <c r="R2" s="6" t="n"/>
      <c r="S2" s="28" t="n"/>
      <c r="T2" s="28" t="n"/>
    </row>
    <row r="3" ht="18.75" customHeight="1" s="802">
      <c r="A3" s="7" t="inlineStr">
        <is>
          <t>Headcount</t>
        </is>
      </c>
      <c r="H3" s="1088" t="n">
        <v>2019</v>
      </c>
      <c r="I3" s="1089" t="n"/>
      <c r="J3" s="1090" t="n">
        <v>2020</v>
      </c>
      <c r="K3" s="1091" t="n"/>
      <c r="L3" s="1091" t="n"/>
      <c r="M3" s="1089" t="n"/>
      <c r="N3" s="1090" t="n">
        <v>2021</v>
      </c>
      <c r="O3" s="1091" t="n"/>
      <c r="P3" s="1091" t="n"/>
      <c r="Q3" s="1089" t="n"/>
      <c r="R3" s="1088" t="n">
        <v>2022</v>
      </c>
      <c r="S3" s="1089" t="n"/>
      <c r="T3" s="28" t="n"/>
    </row>
    <row r="4" hidden="1" outlineLevel="1" s="802">
      <c r="A4" s="11" t="n"/>
      <c r="B4" s="11" t="n"/>
      <c r="C4" s="11" t="n"/>
      <c r="D4" s="11" t="n"/>
      <c r="E4" s="11" t="n"/>
      <c r="F4" s="11" t="n"/>
      <c r="G4" s="11" t="n"/>
      <c r="H4" s="1092" t="n">
        <v>43647</v>
      </c>
      <c r="I4" s="1092" t="n">
        <v>43739</v>
      </c>
      <c r="J4" s="1092" t="n">
        <v>43831</v>
      </c>
      <c r="K4" s="1092" t="n">
        <v>43922</v>
      </c>
      <c r="L4" s="1092" t="n">
        <v>44013</v>
      </c>
      <c r="M4" s="1092" t="n">
        <v>44105</v>
      </c>
      <c r="N4" s="1092" t="n">
        <v>44197</v>
      </c>
      <c r="O4" s="1092" t="n">
        <v>44287</v>
      </c>
      <c r="P4" s="1092" t="n">
        <v>44378</v>
      </c>
      <c r="Q4" s="1092" t="n">
        <v>44470</v>
      </c>
      <c r="R4" s="1092" t="n">
        <v>44562</v>
      </c>
      <c r="S4" s="1092" t="n">
        <v>44652</v>
      </c>
      <c r="T4" s="28" t="n"/>
    </row>
    <row r="5" collapsed="1" ht="30" customHeight="1" s="802">
      <c r="A5" s="16" t="inlineStr">
        <is>
          <t>Submitted by</t>
        </is>
      </c>
      <c r="B5" s="16" t="inlineStr">
        <is>
          <t>Department</t>
        </is>
      </c>
      <c r="C5" s="16" t="inlineStr">
        <is>
          <t>TBH Title</t>
        </is>
      </c>
      <c r="D5" s="16" t="inlineStr">
        <is>
          <t>Description</t>
        </is>
      </c>
      <c r="E5" s="17" t="inlineStr">
        <is>
          <t>Hire Date</t>
        </is>
      </c>
      <c r="F5" s="17" t="inlineStr">
        <is>
          <t>Location</t>
        </is>
      </c>
      <c r="G5" s="16" t="inlineStr">
        <is>
          <t>Base Salary Estimate USD</t>
        </is>
      </c>
      <c r="H5" s="25" t="inlineStr">
        <is>
          <t>Q3</t>
        </is>
      </c>
      <c r="I5" s="21" t="inlineStr">
        <is>
          <t>Q4</t>
        </is>
      </c>
      <c r="J5" s="23" t="inlineStr">
        <is>
          <t>Q1</t>
        </is>
      </c>
      <c r="K5" s="25" t="inlineStr">
        <is>
          <t>Q2</t>
        </is>
      </c>
      <c r="L5" s="25" t="inlineStr">
        <is>
          <t>Q3</t>
        </is>
      </c>
      <c r="M5" s="21" t="inlineStr">
        <is>
          <t>Q4</t>
        </is>
      </c>
      <c r="N5" s="23" t="inlineStr">
        <is>
          <t>Q1</t>
        </is>
      </c>
      <c r="O5" s="25" t="inlineStr">
        <is>
          <t>Q2</t>
        </is>
      </c>
      <c r="P5" s="25" t="inlineStr">
        <is>
          <t>Q3</t>
        </is>
      </c>
      <c r="Q5" s="21" t="inlineStr">
        <is>
          <t>Q4</t>
        </is>
      </c>
      <c r="R5" s="23" t="inlineStr">
        <is>
          <t>Q1</t>
        </is>
      </c>
      <c r="S5" s="25" t="inlineStr">
        <is>
          <t>Q2</t>
        </is>
      </c>
      <c r="T5" s="28" t="n"/>
    </row>
    <row r="6">
      <c r="A6" s="27" t="n"/>
      <c r="B6" s="27" t="n"/>
      <c r="C6" s="30" t="n"/>
      <c r="D6" s="27" t="n"/>
      <c r="E6" s="37" t="n"/>
      <c r="F6" s="27" t="n"/>
      <c r="G6" s="1093" t="n"/>
      <c r="H6" s="1094">
        <f>IF($E6&lt;I$4,($G6*1.3)/4,0)</f>
        <v/>
      </c>
      <c r="I6" s="1095">
        <f>IF($E6&lt;J$4,($G6*1.3)/4,0)</f>
        <v/>
      </c>
      <c r="J6" s="1095">
        <f>IF($E6&lt;K$4,($G6*1.3)/4,0)</f>
        <v/>
      </c>
      <c r="K6" s="1095">
        <f>IF($E6&lt;L$4,($G6*1.3)/4,0)</f>
        <v/>
      </c>
      <c r="L6" s="1095">
        <f>IF($E6&lt;M$4,($G6*1.3)/4,0)</f>
        <v/>
      </c>
      <c r="M6" s="1095">
        <f>IF($E6&lt;N$4,($G6*1.3)/4,0)</f>
        <v/>
      </c>
      <c r="N6" s="1095">
        <f>IF($E6&lt;O$4,($G6*1.3)/4,0)</f>
        <v/>
      </c>
      <c r="O6" s="1095">
        <f>IF($E6&lt;P$4,($G6*1.3)/4,0)</f>
        <v/>
      </c>
      <c r="P6" s="1095">
        <f>IF($E6&lt;Q$4,($G6*1.3)/4,0)</f>
        <v/>
      </c>
      <c r="Q6" s="1095">
        <f>IF($E6&lt;R$4,($G6*1.3)/4,0)</f>
        <v/>
      </c>
      <c r="R6" s="1095">
        <f>IF($E6&lt;S$4,($G6*1.3)/4,0)</f>
        <v/>
      </c>
      <c r="S6" s="1095">
        <f>IF($E6&lt;S$4,($G6*1.3)/4,0)</f>
        <v/>
      </c>
      <c r="T6" s="28" t="n"/>
    </row>
    <row r="7">
      <c r="A7" s="77" t="n"/>
      <c r="B7" s="77" t="n"/>
      <c r="C7" s="794" t="n"/>
      <c r="D7" s="77" t="n"/>
      <c r="E7" s="42" t="n"/>
      <c r="F7" s="43" t="n"/>
      <c r="G7" s="1096" t="n"/>
      <c r="H7" s="1094">
        <f>IF($E7&lt;I$4,($G7*1.3)/4,0)</f>
        <v/>
      </c>
      <c r="I7" s="1095">
        <f>IF($E7&lt;J$4,($G7*1.3)/4,0)</f>
        <v/>
      </c>
      <c r="J7" s="1095">
        <f>IF($E7&lt;K$4,($G7*1.3)/4,0)</f>
        <v/>
      </c>
      <c r="K7" s="1095">
        <f>IF($E7&lt;L$4,($G7*1.3)/4,0)</f>
        <v/>
      </c>
      <c r="L7" s="1095">
        <f>IF($E7&lt;M$4,($G7*1.3)/4,0)</f>
        <v/>
      </c>
      <c r="M7" s="1095">
        <f>IF($E7&lt;N$4,($G7*1.3)/4,0)</f>
        <v/>
      </c>
      <c r="N7" s="1095">
        <f>IF($E7&lt;O$4,($G7*1.3)/4,0)</f>
        <v/>
      </c>
      <c r="O7" s="1095">
        <f>IF($E7&lt;P$4,($G7*1.3)/4,0)</f>
        <v/>
      </c>
      <c r="P7" s="1095">
        <f>IF($E7&lt;Q$4,($G7*1.3)/4,0)</f>
        <v/>
      </c>
      <c r="Q7" s="1095">
        <f>IF($E7&lt;R$4,($G7*1.3)/4,0)</f>
        <v/>
      </c>
      <c r="R7" s="1095">
        <f>IF($E7&lt;S$4,($G7*1.3)/4,0)</f>
        <v/>
      </c>
      <c r="S7" s="1095">
        <f>IF($E7&lt;S$4,($G7*1.3)/4,0)</f>
        <v/>
      </c>
      <c r="T7" s="28" t="n"/>
    </row>
    <row r="8">
      <c r="A8" s="77" t="n"/>
      <c r="B8" s="77" t="n"/>
      <c r="C8" s="794" t="n"/>
      <c r="D8" s="77" t="n"/>
      <c r="E8" s="42" t="n"/>
      <c r="F8" s="43" t="n"/>
      <c r="G8" s="1096" t="n"/>
      <c r="H8" s="1094">
        <f>IF($E8&lt;I$4,($G8*1.3)/4,0)</f>
        <v/>
      </c>
      <c r="I8" s="1095">
        <f>IF($E8&lt;J$4,($G8*1.3)/4,0)</f>
        <v/>
      </c>
      <c r="J8" s="1095">
        <f>IF($E8&lt;K$4,($G8*1.3)/4,0)</f>
        <v/>
      </c>
      <c r="K8" s="1095">
        <f>IF($E8&lt;L$4,($G8*1.3)/4,0)</f>
        <v/>
      </c>
      <c r="L8" s="1095">
        <f>IF($E8&lt;M$4,($G8*1.3)/4,0)</f>
        <v/>
      </c>
      <c r="M8" s="1095">
        <f>IF($E8&lt;N$4,($G8*1.3)/4,0)</f>
        <v/>
      </c>
      <c r="N8" s="1095">
        <f>IF($E8&lt;O$4,($G8*1.3)/4,0)</f>
        <v/>
      </c>
      <c r="O8" s="1095">
        <f>IF($E8&lt;P$4,($G8*1.3)/4,0)</f>
        <v/>
      </c>
      <c r="P8" s="1095">
        <f>IF($E8&lt;Q$4,($G8*1.3)/4,0)</f>
        <v/>
      </c>
      <c r="Q8" s="1095">
        <f>IF($E8&lt;R$4,($G8*1.3)/4,0)</f>
        <v/>
      </c>
      <c r="R8" s="1095">
        <f>IF($E8&lt;S$4,($G8*1.3)/4,0)</f>
        <v/>
      </c>
      <c r="S8" s="1095">
        <f>IF($E8&lt;S$4,($G8*1.3)/4,0)</f>
        <v/>
      </c>
      <c r="T8" s="28" t="n"/>
    </row>
    <row r="9">
      <c r="A9" s="77" t="n"/>
      <c r="B9" s="77" t="n"/>
      <c r="C9" s="794" t="n"/>
      <c r="D9" s="77" t="n"/>
      <c r="E9" s="42" t="n"/>
      <c r="F9" s="43" t="n"/>
      <c r="G9" s="1096" t="n"/>
      <c r="H9" s="1094">
        <f>IF($E9&lt;I$4,($G9*1.3)/4,0)</f>
        <v/>
      </c>
      <c r="I9" s="1095">
        <f>IF($E9&lt;J$4,($G9*1.3)/4,0)</f>
        <v/>
      </c>
      <c r="J9" s="1095">
        <f>IF($E9&lt;K$4,($G9*1.3)/4,0)</f>
        <v/>
      </c>
      <c r="K9" s="1095">
        <f>IF($E9&lt;L$4,($G9*1.3)/4,0)</f>
        <v/>
      </c>
      <c r="L9" s="1095">
        <f>IF($E9&lt;M$4,($G9*1.3)/4,0)</f>
        <v/>
      </c>
      <c r="M9" s="1095">
        <f>IF($E9&lt;N$4,($G9*1.3)/4,0)</f>
        <v/>
      </c>
      <c r="N9" s="1095">
        <f>IF($E9&lt;O$4,($G9*1.3)/4,0)</f>
        <v/>
      </c>
      <c r="O9" s="1095">
        <f>IF($E9&lt;P$4,($G9*1.3)/4,0)</f>
        <v/>
      </c>
      <c r="P9" s="1095">
        <f>IF($E9&lt;Q$4,($G9*1.3)/4,0)</f>
        <v/>
      </c>
      <c r="Q9" s="1095">
        <f>IF($E9&lt;R$4,($G9*1.3)/4,0)</f>
        <v/>
      </c>
      <c r="R9" s="1095">
        <f>IF($E9&lt;S$4,($G9*1.3)/4,0)</f>
        <v/>
      </c>
      <c r="S9" s="1095">
        <f>IF($E9&lt;S$4,($G9*1.3)/4,0)</f>
        <v/>
      </c>
      <c r="T9" s="28" t="n"/>
    </row>
    <row r="10">
      <c r="A10" s="77" t="n"/>
      <c r="B10" s="77" t="n"/>
      <c r="C10" s="794" t="n"/>
      <c r="D10" s="77" t="n"/>
      <c r="E10" s="42" t="n"/>
      <c r="F10" s="43" t="n"/>
      <c r="G10" s="1096" t="n"/>
      <c r="H10" s="1094">
        <f>IF($E10&lt;I$4,($G10*1.3)/4,0)</f>
        <v/>
      </c>
      <c r="I10" s="1095">
        <f>IF($E10&lt;J$4,($G10*1.3)/4,0)</f>
        <v/>
      </c>
      <c r="J10" s="1095">
        <f>IF($E10&lt;K$4,($G10*1.3)/4,0)</f>
        <v/>
      </c>
      <c r="K10" s="1095">
        <f>IF($E10&lt;L$4,($G10*1.3)/4,0)</f>
        <v/>
      </c>
      <c r="L10" s="1095">
        <f>IF($E10&lt;M$4,($G10*1.3)/4,0)</f>
        <v/>
      </c>
      <c r="M10" s="1095">
        <f>IF($E10&lt;N$4,($G10*1.3)/4,0)</f>
        <v/>
      </c>
      <c r="N10" s="1095">
        <f>IF($E10&lt;O$4,($G10*1.3)/4,0)</f>
        <v/>
      </c>
      <c r="O10" s="1095">
        <f>IF($E10&lt;P$4,($G10*1.3)/4,0)</f>
        <v/>
      </c>
      <c r="P10" s="1095">
        <f>IF($E10&lt;Q$4,($G10*1.3)/4,0)</f>
        <v/>
      </c>
      <c r="Q10" s="1095">
        <f>IF($E10&lt;R$4,($G10*1.3)/4,0)</f>
        <v/>
      </c>
      <c r="R10" s="1095">
        <f>IF($E10&lt;S$4,($G10*1.3)/4,0)</f>
        <v/>
      </c>
      <c r="S10" s="1095">
        <f>IF($E10&lt;S$4,($G10*1.3)/4,0)</f>
        <v/>
      </c>
      <c r="T10" s="28" t="n"/>
    </row>
    <row r="11">
      <c r="A11" s="77" t="n"/>
      <c r="B11" s="77" t="n"/>
      <c r="C11" s="794" t="n"/>
      <c r="D11" s="77" t="n"/>
      <c r="E11" s="42" t="n"/>
      <c r="F11" s="43" t="n"/>
      <c r="G11" s="1096" t="n"/>
      <c r="H11" s="1094">
        <f>IF($E11&lt;I$4,($G11*1.3)/4,0)</f>
        <v/>
      </c>
      <c r="I11" s="1095">
        <f>IF($E11&lt;J$4,($G11*1.3)/4,0)</f>
        <v/>
      </c>
      <c r="J11" s="1095">
        <f>IF($E11&lt;K$4,($G11*1.3)/4,0)</f>
        <v/>
      </c>
      <c r="K11" s="1095">
        <f>IF($E11&lt;L$4,($G11*1.3)/4,0)</f>
        <v/>
      </c>
      <c r="L11" s="1095">
        <f>IF($E11&lt;M$4,($G11*1.3)/4,0)</f>
        <v/>
      </c>
      <c r="M11" s="1095">
        <f>IF($E11&lt;N$4,($G11*1.3)/4,0)</f>
        <v/>
      </c>
      <c r="N11" s="1095">
        <f>IF($E11&lt;O$4,($G11*1.3)/4,0)</f>
        <v/>
      </c>
      <c r="O11" s="1095">
        <f>IF($E11&lt;P$4,($G11*1.3)/4,0)</f>
        <v/>
      </c>
      <c r="P11" s="1095">
        <f>IF($E11&lt;Q$4,($G11*1.3)/4,0)</f>
        <v/>
      </c>
      <c r="Q11" s="1095">
        <f>IF($E11&lt;R$4,($G11*1.3)/4,0)</f>
        <v/>
      </c>
      <c r="R11" s="1095">
        <f>IF($E11&lt;S$4,($G11*1.3)/4,0)</f>
        <v/>
      </c>
      <c r="S11" s="1095">
        <f>IF($E11&lt;S$4,($G11*1.3)/4,0)</f>
        <v/>
      </c>
      <c r="T11" s="28" t="n"/>
    </row>
    <row r="12">
      <c r="A12" s="77" t="n"/>
      <c r="B12" s="77" t="n"/>
      <c r="C12" s="794" t="n"/>
      <c r="D12" s="77" t="n"/>
      <c r="E12" s="42" t="n"/>
      <c r="F12" s="43" t="n"/>
      <c r="G12" s="1096" t="n"/>
      <c r="H12" s="1094">
        <f>IF($E12&lt;I$4,($G12*1.3)/4,0)</f>
        <v/>
      </c>
      <c r="I12" s="1095">
        <f>IF($E12&lt;J$4,($G12*1.3)/4,0)</f>
        <v/>
      </c>
      <c r="J12" s="1095">
        <f>IF($E12&lt;K$4,($G12*1.3)/4,0)</f>
        <v/>
      </c>
      <c r="K12" s="1095">
        <f>IF($E12&lt;L$4,($G12*1.3)/4,0)</f>
        <v/>
      </c>
      <c r="L12" s="1095">
        <f>IF($E12&lt;M$4,($G12*1.3)/4,0)</f>
        <v/>
      </c>
      <c r="M12" s="1095">
        <f>IF($E12&lt;N$4,($G12*1.3)/4,0)</f>
        <v/>
      </c>
      <c r="N12" s="1095">
        <f>IF($E12&lt;O$4,($G12*1.3)/4,0)</f>
        <v/>
      </c>
      <c r="O12" s="1095">
        <f>IF($E12&lt;P$4,($G12*1.3)/4,0)</f>
        <v/>
      </c>
      <c r="P12" s="1095">
        <f>IF($E12&lt;Q$4,($G12*1.3)/4,0)</f>
        <v/>
      </c>
      <c r="Q12" s="1095">
        <f>IF($E12&lt;R$4,($G12*1.3)/4,0)</f>
        <v/>
      </c>
      <c r="R12" s="1095">
        <f>IF($E12&lt;S$4,($G12*1.3)/4,0)</f>
        <v/>
      </c>
      <c r="S12" s="1095">
        <f>IF($E12&lt;S$4,($G12*1.3)/4,0)</f>
        <v/>
      </c>
      <c r="T12" s="28" t="n"/>
    </row>
    <row r="13">
      <c r="A13" s="77" t="n"/>
      <c r="B13" s="77" t="n"/>
      <c r="C13" s="794" t="n"/>
      <c r="D13" s="77" t="n"/>
      <c r="E13" s="42" t="n"/>
      <c r="F13" s="43" t="n"/>
      <c r="G13" s="1096" t="n"/>
      <c r="H13" s="1094">
        <f>IF($E13&lt;I$4,($G13*1.3)/4,0)</f>
        <v/>
      </c>
      <c r="I13" s="1095">
        <f>IF($E13&lt;J$4,($G13*1.3)/4,0)</f>
        <v/>
      </c>
      <c r="J13" s="1095">
        <f>IF($E13&lt;K$4,($G13*1.3)/4,0)</f>
        <v/>
      </c>
      <c r="K13" s="1095">
        <f>IF($E13&lt;L$4,($G13*1.3)/4,0)</f>
        <v/>
      </c>
      <c r="L13" s="1095">
        <f>IF($E13&lt;M$4,($G13*1.3)/4,0)</f>
        <v/>
      </c>
      <c r="M13" s="1095">
        <f>IF($E13&lt;N$4,($G13*1.3)/4,0)</f>
        <v/>
      </c>
      <c r="N13" s="1095">
        <f>IF($E13&lt;O$4,($G13*1.3)/4,0)</f>
        <v/>
      </c>
      <c r="O13" s="1095">
        <f>IF($E13&lt;P$4,($G13*1.3)/4,0)</f>
        <v/>
      </c>
      <c r="P13" s="1095">
        <f>IF($E13&lt;Q$4,($G13*1.3)/4,0)</f>
        <v/>
      </c>
      <c r="Q13" s="1095">
        <f>IF($E13&lt;R$4,($G13*1.3)/4,0)</f>
        <v/>
      </c>
      <c r="R13" s="1095">
        <f>IF($E13&lt;S$4,($G13*1.3)/4,0)</f>
        <v/>
      </c>
      <c r="S13" s="1095">
        <f>IF($E13&lt;S$4,($G13*1.3)/4,0)</f>
        <v/>
      </c>
      <c r="T13" s="28" t="n"/>
    </row>
    <row r="14">
      <c r="A14" s="77" t="n"/>
      <c r="B14" s="77" t="n"/>
      <c r="C14" s="794" t="n"/>
      <c r="D14" s="77" t="n"/>
      <c r="E14" s="42" t="n"/>
      <c r="F14" s="43" t="n"/>
      <c r="G14" s="1096" t="n"/>
      <c r="H14" s="1094">
        <f>IF($E14&lt;I$4,($G14*1.3)/4,0)</f>
        <v/>
      </c>
      <c r="I14" s="1095">
        <f>IF($E14&lt;J$4,($G14*1.3)/4,0)</f>
        <v/>
      </c>
      <c r="J14" s="1095">
        <f>IF($E14&lt;K$4,($G14*1.3)/4,0)</f>
        <v/>
      </c>
      <c r="K14" s="1095">
        <f>IF($E14&lt;L$4,($G14*1.3)/4,0)</f>
        <v/>
      </c>
      <c r="L14" s="1095">
        <f>IF($E14&lt;M$4,($G14*1.3)/4,0)</f>
        <v/>
      </c>
      <c r="M14" s="1095">
        <f>IF($E14&lt;N$4,($G14*1.3)/4,0)</f>
        <v/>
      </c>
      <c r="N14" s="1095">
        <f>IF($E14&lt;O$4,($G14*1.3)/4,0)</f>
        <v/>
      </c>
      <c r="O14" s="1095">
        <f>IF($E14&lt;P$4,($G14*1.3)/4,0)</f>
        <v/>
      </c>
      <c r="P14" s="1095">
        <f>IF($E14&lt;Q$4,($G14*1.3)/4,0)</f>
        <v/>
      </c>
      <c r="Q14" s="1095">
        <f>IF($E14&lt;R$4,($G14*1.3)/4,0)</f>
        <v/>
      </c>
      <c r="R14" s="1095">
        <f>IF($E14&lt;S$4,($G14*1.3)/4,0)</f>
        <v/>
      </c>
      <c r="S14" s="1095">
        <f>IF($E14&lt;S$4,($G14*1.3)/4,0)</f>
        <v/>
      </c>
      <c r="T14" s="28" t="n"/>
    </row>
    <row r="15">
      <c r="A15" s="77" t="n"/>
      <c r="B15" s="77" t="n"/>
      <c r="C15" s="794" t="n"/>
      <c r="D15" s="77" t="n"/>
      <c r="E15" s="42" t="n"/>
      <c r="F15" s="43" t="n"/>
      <c r="G15" s="1096" t="n"/>
      <c r="H15" s="1094">
        <f>IF($E15&lt;I$4,($G15*1.3)/4,0)</f>
        <v/>
      </c>
      <c r="I15" s="1095">
        <f>IF($E15&lt;J$4,($G15*1.3)/4,0)</f>
        <v/>
      </c>
      <c r="J15" s="1095">
        <f>IF($E15&lt;K$4,($G15*1.3)/4,0)</f>
        <v/>
      </c>
      <c r="K15" s="1095">
        <f>IF($E15&lt;L$4,($G15*1.3)/4,0)</f>
        <v/>
      </c>
      <c r="L15" s="1095">
        <f>IF($E15&lt;M$4,($G15*1.3)/4,0)</f>
        <v/>
      </c>
      <c r="M15" s="1095">
        <f>IF($E15&lt;N$4,($G15*1.3)/4,0)</f>
        <v/>
      </c>
      <c r="N15" s="1095">
        <f>IF($E15&lt;O$4,($G15*1.3)/4,0)</f>
        <v/>
      </c>
      <c r="O15" s="1095">
        <f>IF($E15&lt;P$4,($G15*1.3)/4,0)</f>
        <v/>
      </c>
      <c r="P15" s="1095">
        <f>IF($E15&lt;Q$4,($G15*1.3)/4,0)</f>
        <v/>
      </c>
      <c r="Q15" s="1095">
        <f>IF($E15&lt;R$4,($G15*1.3)/4,0)</f>
        <v/>
      </c>
      <c r="R15" s="1095">
        <f>IF($E15&lt;S$4,($G15*1.3)/4,0)</f>
        <v/>
      </c>
      <c r="S15" s="1095">
        <f>IF($E15&lt;S$4,($G15*1.3)/4,0)</f>
        <v/>
      </c>
      <c r="T15" s="28" t="n"/>
    </row>
    <row r="16">
      <c r="A16" s="77" t="n"/>
      <c r="B16" s="77" t="n"/>
      <c r="C16" s="794" t="n"/>
      <c r="D16" s="77" t="n"/>
      <c r="E16" s="42" t="n"/>
      <c r="F16" s="43" t="n"/>
      <c r="G16" s="1096" t="n"/>
      <c r="H16" s="1094">
        <f>IF($E16&lt;I$4,($G16*1.3)/4,0)</f>
        <v/>
      </c>
      <c r="I16" s="1095">
        <f>IF($E16&lt;J$4,($G16*1.3)/4,0)</f>
        <v/>
      </c>
      <c r="J16" s="1095">
        <f>IF($E16&lt;K$4,($G16*1.3)/4,0)</f>
        <v/>
      </c>
      <c r="K16" s="1095">
        <f>IF($E16&lt;L$4,($G16*1.3)/4,0)</f>
        <v/>
      </c>
      <c r="L16" s="1095">
        <f>IF($E16&lt;M$4,($G16*1.3)/4,0)</f>
        <v/>
      </c>
      <c r="M16" s="1095">
        <f>IF($E16&lt;N$4,($G16*1.3)/4,0)</f>
        <v/>
      </c>
      <c r="N16" s="1095">
        <f>IF($E16&lt;O$4,($G16*1.3)/4,0)</f>
        <v/>
      </c>
      <c r="O16" s="1095">
        <f>IF($E16&lt;P$4,($G16*1.3)/4,0)</f>
        <v/>
      </c>
      <c r="P16" s="1095">
        <f>IF($E16&lt;Q$4,($G16*1.3)/4,0)</f>
        <v/>
      </c>
      <c r="Q16" s="1095">
        <f>IF($E16&lt;R$4,($G16*1.3)/4,0)</f>
        <v/>
      </c>
      <c r="R16" s="1095">
        <f>IF($E16&lt;S$4,($G16*1.3)/4,0)</f>
        <v/>
      </c>
      <c r="S16" s="1095">
        <f>IF($E16&lt;S$4,($G16*1.3)/4,0)</f>
        <v/>
      </c>
      <c r="T16" s="28" t="n"/>
    </row>
    <row r="17">
      <c r="A17" s="77" t="n"/>
      <c r="B17" s="77" t="n"/>
      <c r="C17" s="794" t="n"/>
      <c r="D17" s="77" t="n"/>
      <c r="E17" s="77" t="n"/>
      <c r="F17" s="43" t="n"/>
      <c r="G17" s="1096" t="n"/>
      <c r="H17" s="1094">
        <f>IF($E17&lt;I$4,($G17*1.3)/4,0)</f>
        <v/>
      </c>
      <c r="I17" s="1095">
        <f>IF($E17&lt;J$4,($G17*1.3)/4,0)</f>
        <v/>
      </c>
      <c r="J17" s="1095">
        <f>IF($E17&lt;K$4,($G17*1.3)/4,0)</f>
        <v/>
      </c>
      <c r="K17" s="1095">
        <f>IF($E17&lt;L$4,($G17*1.3)/4,0)</f>
        <v/>
      </c>
      <c r="L17" s="1095">
        <f>IF($E17&lt;M$4,($G17*1.3)/4,0)</f>
        <v/>
      </c>
      <c r="M17" s="1095">
        <f>IF($E17&lt;N$4,($G17*1.3)/4,0)</f>
        <v/>
      </c>
      <c r="N17" s="1095">
        <f>IF($E17&lt;O$4,($G17*1.3)/4,0)</f>
        <v/>
      </c>
      <c r="O17" s="1095">
        <f>IF($E17&lt;P$4,($G17*1.3)/4,0)</f>
        <v/>
      </c>
      <c r="P17" s="1095">
        <f>IF($E17&lt;Q$4,($G17*1.3)/4,0)</f>
        <v/>
      </c>
      <c r="Q17" s="1095">
        <f>IF($E17&lt;R$4,($G17*1.3)/4,0)</f>
        <v/>
      </c>
      <c r="R17" s="1095">
        <f>IF($E17&lt;S$4,($G17*1.3)/4,0)</f>
        <v/>
      </c>
      <c r="S17" s="1095">
        <f>IF($E17&lt;S$4,($G17*1.3)/4,0)</f>
        <v/>
      </c>
      <c r="T17" s="28" t="n"/>
    </row>
    <row r="18">
      <c r="A18" s="77" t="n"/>
      <c r="B18" s="77" t="n"/>
      <c r="C18" s="794" t="n"/>
      <c r="D18" s="77" t="n"/>
      <c r="E18" s="77" t="n"/>
      <c r="F18" s="43" t="n"/>
      <c r="G18" s="1096" t="n"/>
      <c r="H18" s="1094">
        <f>IF($E18&lt;I$4,($G18*1.3)/4,0)</f>
        <v/>
      </c>
      <c r="I18" s="1095">
        <f>IF($E18&lt;J$4,($G18*1.3)/4,0)</f>
        <v/>
      </c>
      <c r="J18" s="1095">
        <f>IF($E18&lt;K$4,($G18*1.3)/4,0)</f>
        <v/>
      </c>
      <c r="K18" s="1095">
        <f>IF($E18&lt;L$4,($G18*1.3)/4,0)</f>
        <v/>
      </c>
      <c r="L18" s="1095">
        <f>IF($E18&lt;M$4,($G18*1.3)/4,0)</f>
        <v/>
      </c>
      <c r="M18" s="1095">
        <f>IF($E18&lt;N$4,($G18*1.3)/4,0)</f>
        <v/>
      </c>
      <c r="N18" s="1095">
        <f>IF($E18&lt;O$4,($G18*1.3)/4,0)</f>
        <v/>
      </c>
      <c r="O18" s="1095">
        <f>IF($E18&lt;P$4,($G18*1.3)/4,0)</f>
        <v/>
      </c>
      <c r="P18" s="1095">
        <f>IF($E18&lt;Q$4,($G18*1.3)/4,0)</f>
        <v/>
      </c>
      <c r="Q18" s="1095">
        <f>IF($E18&lt;R$4,($G18*1.3)/4,0)</f>
        <v/>
      </c>
      <c r="R18" s="1095">
        <f>IF($E18&lt;S$4,($G18*1.3)/4,0)</f>
        <v/>
      </c>
      <c r="S18" s="1095">
        <f>IF($E18&lt;S$4,($G18*1.3)/4,0)</f>
        <v/>
      </c>
      <c r="T18" s="28" t="n"/>
    </row>
    <row r="19">
      <c r="A19" s="77" t="n"/>
      <c r="B19" s="77" t="n"/>
      <c r="C19" s="794" t="n"/>
      <c r="D19" s="77" t="n"/>
      <c r="E19" s="77" t="n"/>
      <c r="F19" s="43" t="n"/>
      <c r="G19" s="1096" t="n"/>
      <c r="H19" s="1094">
        <f>IF($E19&lt;I$4,($G19*1.3)/4,0)</f>
        <v/>
      </c>
      <c r="I19" s="1095">
        <f>IF($E19&lt;J$4,($G19*1.3)/4,0)</f>
        <v/>
      </c>
      <c r="J19" s="1095">
        <f>IF($E19&lt;K$4,($G19*1.3)/4,0)</f>
        <v/>
      </c>
      <c r="K19" s="1095">
        <f>IF($E19&lt;L$4,($G19*1.3)/4,0)</f>
        <v/>
      </c>
      <c r="L19" s="1095">
        <f>IF($E19&lt;M$4,($G19*1.3)/4,0)</f>
        <v/>
      </c>
      <c r="M19" s="1095">
        <f>IF($E19&lt;N$4,($G19*1.3)/4,0)</f>
        <v/>
      </c>
      <c r="N19" s="1095">
        <f>IF($E19&lt;O$4,($G19*1.3)/4,0)</f>
        <v/>
      </c>
      <c r="O19" s="1095">
        <f>IF($E19&lt;P$4,($G19*1.3)/4,0)</f>
        <v/>
      </c>
      <c r="P19" s="1095">
        <f>IF($E19&lt;Q$4,($G19*1.3)/4,0)</f>
        <v/>
      </c>
      <c r="Q19" s="1095">
        <f>IF($E19&lt;R$4,($G19*1.3)/4,0)</f>
        <v/>
      </c>
      <c r="R19" s="1095">
        <f>IF($E19&lt;S$4,($G19*1.3)/4,0)</f>
        <v/>
      </c>
      <c r="S19" s="1095">
        <f>IF($E19&lt;S$4,($G19*1.3)/4,0)</f>
        <v/>
      </c>
      <c r="T19" s="28" t="n"/>
    </row>
    <row r="20">
      <c r="A20" s="77" t="n"/>
      <c r="B20" s="77" t="n"/>
      <c r="C20" s="794" t="n"/>
      <c r="D20" s="77" t="n"/>
      <c r="E20" s="43" t="n"/>
      <c r="F20" s="43" t="n"/>
      <c r="G20" s="1096" t="n"/>
      <c r="H20" s="1094">
        <f>IF($E20&lt;I$4,($G20*1.3)/4,0)</f>
        <v/>
      </c>
      <c r="I20" s="1095">
        <f>IF($E20&lt;J$4,($G20*1.3)/4,0)</f>
        <v/>
      </c>
      <c r="J20" s="1095">
        <f>IF($E20&lt;K$4,($G20*1.3)/4,0)</f>
        <v/>
      </c>
      <c r="K20" s="1095">
        <f>IF($E20&lt;L$4,($G20*1.3)/4,0)</f>
        <v/>
      </c>
      <c r="L20" s="1095">
        <f>IF($E20&lt;M$4,($G20*1.3)/4,0)</f>
        <v/>
      </c>
      <c r="M20" s="1095">
        <f>IF($E20&lt;N$4,($G20*1.3)/4,0)</f>
        <v/>
      </c>
      <c r="N20" s="1095">
        <f>IF($E20&lt;O$4,($G20*1.3)/4,0)</f>
        <v/>
      </c>
      <c r="O20" s="1095">
        <f>IF($E20&lt;P$4,($G20*1.3)/4,0)</f>
        <v/>
      </c>
      <c r="P20" s="1095">
        <f>IF($E20&lt;Q$4,($G20*1.3)/4,0)</f>
        <v/>
      </c>
      <c r="Q20" s="1095">
        <f>IF($E20&lt;R$4,($G20*1.3)/4,0)</f>
        <v/>
      </c>
      <c r="R20" s="1095">
        <f>IF($E20&lt;S$4,($G20*1.3)/4,0)</f>
        <v/>
      </c>
      <c r="S20" s="1095">
        <f>IF($E20&lt;S$4,($G20*1.3)/4,0)</f>
        <v/>
      </c>
      <c r="T20" s="28" t="n"/>
    </row>
    <row r="21">
      <c r="A21" s="77" t="n"/>
      <c r="B21" s="77" t="n"/>
      <c r="C21" s="794" t="n"/>
      <c r="D21" s="77" t="n"/>
      <c r="E21" s="43" t="n"/>
      <c r="F21" s="43" t="n"/>
      <c r="G21" s="1096" t="n"/>
      <c r="H21" s="1094">
        <f>IF($E21&lt;I$4,($G21*1.3)/4,0)</f>
        <v/>
      </c>
      <c r="I21" s="1095">
        <f>IF($E21&lt;J$4,($G21*1.3)/4,0)</f>
        <v/>
      </c>
      <c r="J21" s="1095">
        <f>IF($E21&lt;K$4,($G21*1.3)/4,0)</f>
        <v/>
      </c>
      <c r="K21" s="1095">
        <f>IF($E21&lt;L$4,($G21*1.3)/4,0)</f>
        <v/>
      </c>
      <c r="L21" s="1095">
        <f>IF($E21&lt;M$4,($G21*1.3)/4,0)</f>
        <v/>
      </c>
      <c r="M21" s="1095">
        <f>IF($E21&lt;N$4,($G21*1.3)/4,0)</f>
        <v/>
      </c>
      <c r="N21" s="1095">
        <f>IF($E21&lt;O$4,($G21*1.3)/4,0)</f>
        <v/>
      </c>
      <c r="O21" s="1095">
        <f>IF($E21&lt;P$4,($G21*1.3)/4,0)</f>
        <v/>
      </c>
      <c r="P21" s="1095">
        <f>IF($E21&lt;Q$4,($G21*1.3)/4,0)</f>
        <v/>
      </c>
      <c r="Q21" s="1095">
        <f>IF($E21&lt;R$4,($G21*1.3)/4,0)</f>
        <v/>
      </c>
      <c r="R21" s="1095">
        <f>IF($E21&lt;S$4,($G21*1.3)/4,0)</f>
        <v/>
      </c>
      <c r="S21" s="1095">
        <f>IF($E21&lt;S$4,($G21*1.3)/4,0)</f>
        <v/>
      </c>
      <c r="T21" s="28" t="n"/>
    </row>
    <row r="22">
      <c r="A22" s="77" t="n"/>
      <c r="B22" s="77" t="n"/>
      <c r="C22" s="794" t="n"/>
      <c r="D22" s="77" t="n"/>
      <c r="E22" s="77" t="n"/>
      <c r="F22" s="77" t="n"/>
      <c r="G22" s="1096" t="n"/>
      <c r="H22" s="1094">
        <f>IF($E22&lt;I$4,($G22*1.3)/4,0)</f>
        <v/>
      </c>
      <c r="I22" s="1095">
        <f>IF($E22&lt;J$4,($G22*1.3)/4,0)</f>
        <v/>
      </c>
      <c r="J22" s="1095">
        <f>IF($E22&lt;K$4,($G22*1.3)/4,0)</f>
        <v/>
      </c>
      <c r="K22" s="1095">
        <f>IF($E22&lt;L$4,($G22*1.3)/4,0)</f>
        <v/>
      </c>
      <c r="L22" s="1095">
        <f>IF($E22&lt;M$4,($G22*1.3)/4,0)</f>
        <v/>
      </c>
      <c r="M22" s="1095">
        <f>IF($E22&lt;N$4,($G22*1.3)/4,0)</f>
        <v/>
      </c>
      <c r="N22" s="1095">
        <f>IF($E22&lt;O$4,($G22*1.3)/4,0)</f>
        <v/>
      </c>
      <c r="O22" s="1095">
        <f>IF($E22&lt;P$4,($G22*1.3)/4,0)</f>
        <v/>
      </c>
      <c r="P22" s="1095">
        <f>IF($E22&lt;Q$4,($G22*1.3)/4,0)</f>
        <v/>
      </c>
      <c r="Q22" s="1095">
        <f>IF($E22&lt;R$4,($G22*1.3)/4,0)</f>
        <v/>
      </c>
      <c r="R22" s="1095">
        <f>IF($E22&lt;S$4,($G22*1.3)/4,0)</f>
        <v/>
      </c>
      <c r="S22" s="1095">
        <f>IF($E22&lt;S$4,($G22*1.3)/4,0)</f>
        <v/>
      </c>
      <c r="T22" s="28" t="n"/>
    </row>
    <row r="23">
      <c r="A23" s="77" t="n"/>
      <c r="B23" s="77" t="n"/>
      <c r="C23" s="794" t="n"/>
      <c r="D23" s="77" t="n"/>
      <c r="E23" s="77" t="n"/>
      <c r="F23" s="77" t="n"/>
      <c r="G23" s="1096" t="n"/>
      <c r="H23" s="1094">
        <f>IF($E23&lt;I$4,($G23*1.3)/4,0)</f>
        <v/>
      </c>
      <c r="I23" s="1095">
        <f>IF($E23&lt;J$4,($G23*1.3)/4,0)</f>
        <v/>
      </c>
      <c r="J23" s="1095">
        <f>IF($E23&lt;K$4,($G23*1.3)/4,0)</f>
        <v/>
      </c>
      <c r="K23" s="1095">
        <f>IF($E23&lt;L$4,($G23*1.3)/4,0)</f>
        <v/>
      </c>
      <c r="L23" s="1095">
        <f>IF($E23&lt;M$4,($G23*1.3)/4,0)</f>
        <v/>
      </c>
      <c r="M23" s="1095">
        <f>IF($E23&lt;N$4,($G23*1.3)/4,0)</f>
        <v/>
      </c>
      <c r="N23" s="1095">
        <f>IF($E23&lt;O$4,($G23*1.3)/4,0)</f>
        <v/>
      </c>
      <c r="O23" s="1095">
        <f>IF($E23&lt;P$4,($G23*1.3)/4,0)</f>
        <v/>
      </c>
      <c r="P23" s="1095">
        <f>IF($E23&lt;Q$4,($G23*1.3)/4,0)</f>
        <v/>
      </c>
      <c r="Q23" s="1095">
        <f>IF($E23&lt;R$4,($G23*1.3)/4,0)</f>
        <v/>
      </c>
      <c r="R23" s="1095">
        <f>IF($E23&lt;S$4,($G23*1.3)/4,0)</f>
        <v/>
      </c>
      <c r="S23" s="1095">
        <f>IF($E23&lt;S$4,($G23*1.3)/4,0)</f>
        <v/>
      </c>
      <c r="T23" s="28" t="n"/>
    </row>
    <row r="24">
      <c r="A24" s="77" t="n"/>
      <c r="B24" s="77" t="n"/>
      <c r="C24" s="794" t="n"/>
      <c r="D24" s="77" t="n"/>
      <c r="E24" s="77" t="n"/>
      <c r="F24" s="77" t="n"/>
      <c r="G24" s="1096" t="n"/>
      <c r="H24" s="1094">
        <f>IF($E24&lt;I$4,($G24*1.3)/4,0)</f>
        <v/>
      </c>
      <c r="I24" s="1095">
        <f>IF($E24&lt;J$4,($G24*1.3)/4,0)</f>
        <v/>
      </c>
      <c r="J24" s="1095">
        <f>IF($E24&lt;K$4,($G24*1.3)/4,0)</f>
        <v/>
      </c>
      <c r="K24" s="1095">
        <f>IF($E24&lt;L$4,($G24*1.3)/4,0)</f>
        <v/>
      </c>
      <c r="L24" s="1095">
        <f>IF($E24&lt;M$4,($G24*1.3)/4,0)</f>
        <v/>
      </c>
      <c r="M24" s="1095">
        <f>IF($E24&lt;N$4,($G24*1.3)/4,0)</f>
        <v/>
      </c>
      <c r="N24" s="1095">
        <f>IF($E24&lt;O$4,($G24*1.3)/4,0)</f>
        <v/>
      </c>
      <c r="O24" s="1095">
        <f>IF($E24&lt;P$4,($G24*1.3)/4,0)</f>
        <v/>
      </c>
      <c r="P24" s="1095">
        <f>IF($E24&lt;Q$4,($G24*1.3)/4,0)</f>
        <v/>
      </c>
      <c r="Q24" s="1095">
        <f>IF($E24&lt;R$4,($G24*1.3)/4,0)</f>
        <v/>
      </c>
      <c r="R24" s="1095">
        <f>IF($E24&lt;S$4,($G24*1.3)/4,0)</f>
        <v/>
      </c>
      <c r="S24" s="1095">
        <f>IF($E24&lt;S$4,($G24*1.3)/4,0)</f>
        <v/>
      </c>
      <c r="T24" s="28" t="n"/>
    </row>
    <row r="25">
      <c r="H25" s="1097">
        <f>SUM(H6:H24)</f>
        <v/>
      </c>
      <c r="I25" s="1098">
        <f>SUM(I6:I24)</f>
        <v/>
      </c>
      <c r="J25" s="1098">
        <f>SUM(J6:J24)</f>
        <v/>
      </c>
      <c r="K25" s="1098">
        <f>SUM(K6:K24)</f>
        <v/>
      </c>
      <c r="L25" s="1098">
        <f>SUM(L6:L24)</f>
        <v/>
      </c>
      <c r="M25" s="1098">
        <f>SUM(M6:M24)</f>
        <v/>
      </c>
      <c r="N25" s="1098">
        <f>SUM(N6:N24)</f>
        <v/>
      </c>
      <c r="O25" s="1098">
        <f>SUM(O6:O24)</f>
        <v/>
      </c>
      <c r="P25" s="1098">
        <f>SUM(P6:P24)</f>
        <v/>
      </c>
      <c r="Q25" s="1098">
        <f>SUM(Q6:Q24)</f>
        <v/>
      </c>
      <c r="R25" s="1098">
        <f>SUM(R6:R24)</f>
        <v/>
      </c>
      <c r="S25" s="1098">
        <f>SUM(S6:S24)</f>
        <v/>
      </c>
      <c r="T25" s="28" t="n"/>
    </row>
    <row r="26">
      <c r="B26" s="28" t="n"/>
      <c r="C26" s="28" t="n"/>
      <c r="D26" s="28" t="n"/>
      <c r="E26" s="28" t="n"/>
      <c r="F26" s="28" t="n"/>
      <c r="G26" s="28" t="n"/>
      <c r="H26" s="28" t="n"/>
      <c r="I26" s="28" t="n"/>
      <c r="J26" s="28" t="n"/>
      <c r="K26" s="28" t="n"/>
      <c r="L26" s="28" t="n"/>
      <c r="M26" s="28" t="n"/>
      <c r="N26" s="28" t="n"/>
      <c r="O26" s="28" t="n"/>
      <c r="P26" s="28" t="n"/>
      <c r="Q26" s="28" t="n"/>
      <c r="R26" s="28" t="n"/>
      <c r="S26" s="28" t="n"/>
    </row>
    <row r="27" ht="18.75" customHeight="1" s="802">
      <c r="A27" s="7" t="inlineStr">
        <is>
          <t>Non Headcount</t>
        </is>
      </c>
      <c r="B27" s="28" t="n"/>
      <c r="C27" s="28" t="n"/>
      <c r="D27" s="28" t="n"/>
      <c r="E27" s="28" t="n"/>
      <c r="F27" s="28" t="n"/>
      <c r="G27" s="28" t="n"/>
      <c r="H27" s="1088" t="n">
        <v>2019</v>
      </c>
      <c r="I27" s="1089" t="n"/>
      <c r="J27" s="1090" t="n">
        <v>2020</v>
      </c>
      <c r="K27" s="1091" t="n"/>
      <c r="L27" s="1091" t="n"/>
      <c r="M27" s="1089" t="n"/>
      <c r="N27" s="1090" t="n">
        <v>2021</v>
      </c>
      <c r="O27" s="1091" t="n"/>
      <c r="P27" s="1091" t="n"/>
      <c r="Q27" s="1089" t="n"/>
      <c r="R27" s="1088" t="n">
        <v>2022</v>
      </c>
      <c r="S27" s="1089" t="n"/>
    </row>
    <row r="28" ht="30" customHeight="1" s="802">
      <c r="A28" s="54" t="inlineStr">
        <is>
          <t>Submitted by</t>
        </is>
      </c>
      <c r="B28" s="54" t="inlineStr">
        <is>
          <t>Department</t>
        </is>
      </c>
      <c r="C28" s="54" t="inlineStr">
        <is>
          <t>Description of Spend</t>
        </is>
      </c>
      <c r="D28" s="1099" t="inlineStr">
        <is>
          <t>Justification</t>
        </is>
      </c>
      <c r="G28" s="55" t="inlineStr">
        <is>
          <t>Total Cost Estimate</t>
        </is>
      </c>
      <c r="H28" s="18" t="inlineStr">
        <is>
          <t>Q3</t>
        </is>
      </c>
      <c r="I28" s="26" t="inlineStr">
        <is>
          <t>Q4</t>
        </is>
      </c>
      <c r="J28" s="22" t="inlineStr">
        <is>
          <t>Q1</t>
        </is>
      </c>
      <c r="K28" s="18" t="inlineStr">
        <is>
          <t>Q2</t>
        </is>
      </c>
      <c r="L28" s="18" t="inlineStr">
        <is>
          <t>Q3</t>
        </is>
      </c>
      <c r="M28" s="26" t="inlineStr">
        <is>
          <t>Q4</t>
        </is>
      </c>
      <c r="N28" s="22" t="inlineStr">
        <is>
          <t>Q1</t>
        </is>
      </c>
      <c r="O28" s="18" t="inlineStr">
        <is>
          <t>Q2</t>
        </is>
      </c>
      <c r="P28" s="18" t="inlineStr">
        <is>
          <t>Q3</t>
        </is>
      </c>
      <c r="Q28" s="26" t="inlineStr">
        <is>
          <t>Q4</t>
        </is>
      </c>
      <c r="R28" s="22" t="inlineStr">
        <is>
          <t>Q1</t>
        </is>
      </c>
      <c r="S28" s="18" t="inlineStr">
        <is>
          <t>Q2</t>
        </is>
      </c>
    </row>
    <row r="29">
      <c r="A29" s="77" t="n"/>
      <c r="B29" s="77" t="n"/>
      <c r="C29" s="77" t="n"/>
      <c r="D29" s="77" t="n"/>
      <c r="E29" s="1103" t="n"/>
      <c r="F29" s="1104" t="n"/>
      <c r="G29" s="1100" t="n"/>
      <c r="H29" s="1101" t="n"/>
      <c r="I29" s="1102" t="n"/>
      <c r="J29" s="1102" t="n"/>
      <c r="K29" s="1102" t="n"/>
      <c r="L29" s="1102" t="n"/>
      <c r="M29" s="1102" t="n"/>
      <c r="N29" s="1102" t="n"/>
      <c r="O29" s="1102" t="n"/>
      <c r="P29" s="1102" t="n"/>
      <c r="Q29" s="1102" t="n"/>
      <c r="R29" s="1102" t="n"/>
      <c r="S29" s="1102" t="n"/>
    </row>
    <row r="30">
      <c r="A30" s="77" t="n"/>
      <c r="B30" s="77" t="n"/>
      <c r="C30" s="77" t="n"/>
      <c r="D30" s="77" t="n"/>
      <c r="E30" s="1103" t="n"/>
      <c r="F30" s="1104" t="n"/>
      <c r="G30" s="1100" t="n"/>
      <c r="H30" s="1101" t="n"/>
      <c r="I30" s="1102" t="n"/>
      <c r="J30" s="1102" t="n"/>
      <c r="K30" s="1102" t="n"/>
      <c r="L30" s="1102" t="n"/>
      <c r="M30" s="1102" t="n"/>
      <c r="N30" s="1102" t="n"/>
      <c r="O30" s="1102" t="n"/>
      <c r="P30" s="1102" t="n"/>
      <c r="Q30" s="1102" t="n"/>
      <c r="R30" s="1102" t="n"/>
      <c r="S30" s="1102" t="n"/>
    </row>
    <row r="31">
      <c r="A31" s="77" t="n"/>
      <c r="B31" s="77" t="n"/>
      <c r="C31" s="77" t="n"/>
      <c r="D31" s="77" t="n"/>
      <c r="E31" s="1103" t="n"/>
      <c r="F31" s="1104" t="n"/>
      <c r="G31" s="1100" t="n"/>
      <c r="H31" s="1101" t="n"/>
      <c r="I31" s="1106" t="n"/>
      <c r="J31" s="1102" t="n"/>
      <c r="K31" s="1102" t="n"/>
      <c r="L31" s="1102" t="n"/>
      <c r="M31" s="1102" t="n"/>
      <c r="N31" s="1102" t="n"/>
      <c r="O31" s="1102" t="n"/>
      <c r="P31" s="1102" t="n"/>
      <c r="Q31" s="1102" t="n"/>
      <c r="R31" s="1102" t="n"/>
      <c r="S31" s="1102" t="n"/>
    </row>
    <row r="32">
      <c r="A32" s="77" t="n"/>
      <c r="B32" s="77" t="n"/>
      <c r="C32" s="77" t="n"/>
      <c r="D32" s="77" t="n"/>
      <c r="E32" s="1103" t="n"/>
      <c r="F32" s="1104" t="n"/>
      <c r="G32" s="1100" t="n"/>
      <c r="H32" s="1101" t="n"/>
      <c r="I32" s="1106" t="n"/>
      <c r="J32" s="1102" t="n"/>
      <c r="K32" s="1102" t="n"/>
      <c r="L32" s="1102" t="n"/>
      <c r="M32" s="1102" t="n"/>
      <c r="N32" s="1102" t="n"/>
      <c r="O32" s="1102" t="n"/>
      <c r="P32" s="1102" t="n"/>
      <c r="Q32" s="1102" t="n"/>
      <c r="R32" s="1102" t="n"/>
      <c r="S32" s="1102" t="n"/>
    </row>
    <row r="33">
      <c r="A33" s="77" t="n"/>
      <c r="B33" s="77" t="n"/>
      <c r="C33" s="77" t="n"/>
      <c r="D33" s="77" t="n"/>
      <c r="E33" s="1103" t="n"/>
      <c r="F33" s="1104" t="n"/>
      <c r="G33" s="1100" t="n"/>
      <c r="H33" s="1101" t="n"/>
      <c r="I33" s="1106" t="n"/>
      <c r="J33" s="1102" t="n"/>
      <c r="K33" s="1102" t="n"/>
      <c r="L33" s="1102" t="n"/>
      <c r="M33" s="1102" t="n"/>
      <c r="N33" s="1102" t="n"/>
      <c r="O33" s="1102" t="n"/>
      <c r="P33" s="1102" t="n"/>
      <c r="Q33" s="1102" t="n"/>
      <c r="R33" s="1102" t="n"/>
      <c r="S33" s="1102" t="n"/>
    </row>
    <row r="34">
      <c r="A34" s="77" t="n"/>
      <c r="B34" s="77" t="n"/>
      <c r="C34" s="77" t="n"/>
      <c r="D34" s="77" t="n"/>
      <c r="E34" s="1103" t="n"/>
      <c r="F34" s="1104" t="n"/>
      <c r="G34" s="1100" t="n"/>
      <c r="H34" s="1101" t="n"/>
      <c r="I34" s="1106" t="n"/>
      <c r="J34" s="1102" t="n"/>
      <c r="K34" s="1102" t="n"/>
      <c r="L34" s="1102" t="n"/>
      <c r="M34" s="1102" t="n"/>
      <c r="N34" s="1102" t="n"/>
      <c r="O34" s="1102" t="n"/>
      <c r="P34" s="1102" t="n"/>
      <c r="Q34" s="1102" t="n"/>
      <c r="R34" s="1102" t="n"/>
      <c r="S34" s="1102" t="n"/>
    </row>
    <row r="35">
      <c r="A35" s="77" t="n"/>
      <c r="B35" s="77" t="n"/>
      <c r="C35" s="60" t="n"/>
      <c r="D35" s="77" t="n"/>
      <c r="E35" s="1103" t="n"/>
      <c r="F35" s="1104" t="n"/>
      <c r="G35" s="1100" t="n"/>
      <c r="H35" s="1107" t="n"/>
      <c r="I35" s="1102" t="n"/>
      <c r="J35" s="1102" t="n"/>
      <c r="K35" s="1102" t="n"/>
      <c r="L35" s="1102" t="n"/>
      <c r="M35" s="1102" t="n"/>
      <c r="N35" s="1102" t="n"/>
      <c r="O35" s="1102" t="n"/>
      <c r="P35" s="1102" t="n"/>
      <c r="Q35" s="1102" t="n"/>
      <c r="R35" s="1102" t="n"/>
      <c r="S35" s="1102" t="n"/>
    </row>
    <row r="36">
      <c r="A36" s="77" t="n"/>
      <c r="B36" s="77" t="n"/>
      <c r="C36" s="60" t="n"/>
      <c r="D36" s="77" t="n"/>
      <c r="E36" s="1103" t="n"/>
      <c r="F36" s="1104" t="n"/>
      <c r="G36" s="1100" t="n"/>
      <c r="H36" s="1107" t="n"/>
      <c r="I36" s="1102" t="n"/>
      <c r="J36" s="1102" t="n"/>
      <c r="K36" s="1102" t="n"/>
      <c r="L36" s="1102" t="n"/>
      <c r="M36" s="1102" t="n"/>
      <c r="N36" s="1102" t="n"/>
      <c r="O36" s="1102" t="n"/>
      <c r="P36" s="1102" t="n"/>
      <c r="Q36" s="1102" t="n"/>
      <c r="R36" s="1102" t="n"/>
      <c r="S36" s="1102" t="n"/>
    </row>
    <row r="37">
      <c r="A37" s="77" t="n"/>
      <c r="B37" s="77" t="n"/>
      <c r="C37" s="60" t="n"/>
      <c r="D37" s="77" t="n"/>
      <c r="E37" s="1103" t="n"/>
      <c r="F37" s="1104" t="n"/>
      <c r="G37" s="1100" t="n"/>
      <c r="H37" s="1107" t="n"/>
      <c r="I37" s="1102" t="n"/>
      <c r="J37" s="1102" t="n"/>
      <c r="K37" s="1102" t="n"/>
      <c r="L37" s="1102" t="n"/>
      <c r="M37" s="1102" t="n"/>
      <c r="N37" s="1102" t="n"/>
      <c r="O37" s="1102" t="n"/>
      <c r="P37" s="1102" t="n"/>
      <c r="Q37" s="1102" t="n"/>
      <c r="R37" s="1102" t="n"/>
      <c r="S37" s="1102" t="n"/>
    </row>
    <row r="38">
      <c r="A38" s="77" t="n"/>
      <c r="B38" s="77" t="n"/>
      <c r="C38" s="77" t="n"/>
      <c r="D38" s="77" t="n"/>
      <c r="E38" s="1103" t="n"/>
      <c r="F38" s="1104" t="n"/>
      <c r="G38" s="1100" t="n"/>
      <c r="H38" s="1107" t="n"/>
      <c r="I38" s="1102" t="n"/>
      <c r="J38" s="1102" t="n"/>
      <c r="K38" s="1102" t="n"/>
      <c r="L38" s="1102" t="n"/>
      <c r="M38" s="1102" t="n"/>
      <c r="N38" s="1102" t="n"/>
      <c r="O38" s="1102" t="n"/>
      <c r="P38" s="1102" t="n"/>
      <c r="Q38" s="1102" t="n"/>
      <c r="R38" s="1102" t="n"/>
      <c r="S38" s="1102" t="n"/>
    </row>
    <row r="39">
      <c r="A39" s="77" t="n"/>
      <c r="B39" s="77" t="n"/>
      <c r="C39" s="77" t="n"/>
      <c r="D39" s="77" t="n"/>
      <c r="E39" s="1103" t="n"/>
      <c r="F39" s="1104" t="n"/>
      <c r="G39" s="1100" t="n"/>
      <c r="H39" s="1101" t="n"/>
      <c r="I39" s="1106" t="n"/>
      <c r="J39" s="1106" t="n"/>
      <c r="K39" s="1106" t="n"/>
      <c r="L39" s="1106" t="n"/>
      <c r="M39" s="1106" t="n"/>
      <c r="N39" s="1106" t="n"/>
      <c r="O39" s="1106" t="n"/>
      <c r="P39" s="1106" t="n"/>
      <c r="Q39" s="1106" t="n"/>
      <c r="R39" s="1106" t="n"/>
      <c r="S39" s="1106" t="n"/>
    </row>
    <row r="40">
      <c r="A40" s="77" t="n"/>
      <c r="B40" s="77" t="n"/>
      <c r="C40" s="77" t="n"/>
      <c r="D40" s="77" t="n"/>
      <c r="E40" s="1103" t="n"/>
      <c r="F40" s="1104" t="n"/>
      <c r="G40" s="1108" t="n"/>
      <c r="H40" s="1109" t="n"/>
      <c r="I40" s="1110" t="n"/>
      <c r="J40" s="1110" t="n"/>
      <c r="K40" s="1110" t="n"/>
      <c r="L40" s="1110" t="n"/>
      <c r="M40" s="1110" t="n"/>
      <c r="N40" s="1110" t="n"/>
      <c r="O40" s="1110" t="n"/>
      <c r="P40" s="1110" t="n"/>
      <c r="Q40" s="1110" t="n"/>
      <c r="R40" s="1110" t="n"/>
      <c r="S40" s="1110" t="n"/>
    </row>
    <row r="41">
      <c r="G41" s="1111">
        <f>SUM(G29:G40)</f>
        <v/>
      </c>
      <c r="H41" s="1112">
        <f>SUM(H29:H34)</f>
        <v/>
      </c>
      <c r="I41" s="1111">
        <f>SUM(I29:I34)</f>
        <v/>
      </c>
      <c r="J41" s="1111">
        <f>SUM(J29:J34)</f>
        <v/>
      </c>
      <c r="K41" s="1111">
        <f>SUM(K29:K34)</f>
        <v/>
      </c>
      <c r="L41" s="1111">
        <f>SUM(L29:L34)</f>
        <v/>
      </c>
      <c r="M41" s="1111">
        <f>SUM(M29:M34)</f>
        <v/>
      </c>
      <c r="N41" s="1111">
        <f>SUM(N29:N34)</f>
        <v/>
      </c>
      <c r="O41" s="1111">
        <f>SUM(O29:O34)</f>
        <v/>
      </c>
      <c r="P41" s="1111">
        <f>SUM(P29:P34)</f>
        <v/>
      </c>
      <c r="Q41" s="1111">
        <f>SUM(Q29:Q34)</f>
        <v/>
      </c>
      <c r="R41" s="1111">
        <f>SUM(R29:R34)</f>
        <v/>
      </c>
      <c r="S41" s="1111">
        <f>SUM(S29:S34)</f>
        <v/>
      </c>
    </row>
  </sheetData>
  <mergeCells count="21">
    <mergeCell ref="D32:F32"/>
    <mergeCell ref="J3:M3"/>
    <mergeCell ref="N27:Q27"/>
    <mergeCell ref="D28:F28"/>
    <mergeCell ref="D37:F37"/>
    <mergeCell ref="D30:F30"/>
    <mergeCell ref="R27:S27"/>
    <mergeCell ref="D39:F39"/>
    <mergeCell ref="D33:F33"/>
    <mergeCell ref="D38:F38"/>
    <mergeCell ref="D29:F29"/>
    <mergeCell ref="N3:Q3"/>
    <mergeCell ref="D35:F35"/>
    <mergeCell ref="R3:S3"/>
    <mergeCell ref="H27:I27"/>
    <mergeCell ref="D34:F34"/>
    <mergeCell ref="H3:I3"/>
    <mergeCell ref="J27:M27"/>
    <mergeCell ref="D31:F31"/>
    <mergeCell ref="D40:F40"/>
    <mergeCell ref="D36:F36"/>
  </mergeCells>
  <pageMargins left="0.7" right="0.7" top="0.75" bottom="0.75" header="0" footer="0"/>
  <pageSetup orientation="portrait"/>
</worksheet>
</file>

<file path=xl/worksheets/sheet23.xml><?xml version="1.0" encoding="utf-8"?>
<worksheet xmlns="http://schemas.openxmlformats.org/spreadsheetml/2006/main">
  <sheetPr>
    <outlinePr summaryBelow="0" summaryRight="0"/>
    <pageSetUpPr/>
  </sheetPr>
  <dimension ref="C1:O6"/>
  <sheetViews>
    <sheetView workbookViewId="0">
      <selection activeCell="F4" sqref="F4"/>
    </sheetView>
  </sheetViews>
  <sheetFormatPr baseColWidth="8" defaultColWidth="14.42578125" defaultRowHeight="15" customHeight="1"/>
  <cols>
    <col width="17.140625" customWidth="1" style="802" min="3" max="3"/>
  </cols>
  <sheetData>
    <row r="1" ht="15" customHeight="1" s="802">
      <c r="D1" s="1139" t="n"/>
      <c r="E1" s="1091" t="n"/>
      <c r="F1" s="1091" t="n"/>
      <c r="G1" s="1091" t="n"/>
      <c r="H1" s="1089" t="n"/>
      <c r="K1" s="1139" t="n"/>
      <c r="L1" s="1091" t="n"/>
      <c r="M1" s="1091" t="n"/>
      <c r="N1" s="1091" t="n"/>
      <c r="O1" s="1089" t="n"/>
    </row>
    <row r="2" ht="15" customHeight="1" s="802">
      <c r="D2" s="157" t="n">
        <v>2019</v>
      </c>
      <c r="E2" s="1140" t="n">
        <v>2020</v>
      </c>
      <c r="F2" s="1089" t="n"/>
      <c r="G2" s="1141" t="n">
        <v>2021</v>
      </c>
      <c r="H2" s="1089" t="n"/>
      <c r="K2" s="157" t="n">
        <v>2019</v>
      </c>
      <c r="L2" s="1140" t="n">
        <v>2020</v>
      </c>
      <c r="M2" s="1089" t="n"/>
      <c r="N2" s="1141" t="n">
        <v>2021</v>
      </c>
      <c r="O2" s="1089" t="n"/>
    </row>
    <row r="3" ht="15" customHeight="1" s="802">
      <c r="C3" s="158" t="inlineStr">
        <is>
          <t>Source/Location</t>
        </is>
      </c>
      <c r="D3" s="159" t="inlineStr">
        <is>
          <t xml:space="preserve">2H </t>
        </is>
      </c>
      <c r="E3" s="159" t="inlineStr">
        <is>
          <t xml:space="preserve">1H </t>
        </is>
      </c>
      <c r="F3" s="159" t="inlineStr">
        <is>
          <t>2H</t>
        </is>
      </c>
      <c r="G3" s="159" t="inlineStr">
        <is>
          <t>1H</t>
        </is>
      </c>
      <c r="H3" s="159" t="inlineStr">
        <is>
          <t>2H</t>
        </is>
      </c>
      <c r="J3" s="158" t="inlineStr">
        <is>
          <t>Source/Location</t>
        </is>
      </c>
      <c r="K3" s="159" t="inlineStr">
        <is>
          <t xml:space="preserve">2H </t>
        </is>
      </c>
      <c r="L3" s="159" t="inlineStr">
        <is>
          <t xml:space="preserve">1H </t>
        </is>
      </c>
      <c r="M3" s="159" t="inlineStr">
        <is>
          <t>2H</t>
        </is>
      </c>
      <c r="N3" s="159" t="inlineStr">
        <is>
          <t>1H</t>
        </is>
      </c>
      <c r="O3" s="159" t="inlineStr">
        <is>
          <t>2H</t>
        </is>
      </c>
    </row>
    <row r="4" ht="15" customHeight="1" s="802">
      <c r="C4" s="160" t="inlineStr">
        <is>
          <t>Delta Existing</t>
        </is>
      </c>
      <c r="D4" s="162" t="n">
        <v>14</v>
      </c>
      <c r="E4" s="162" t="n">
        <v>14</v>
      </c>
      <c r="F4" s="162" t="n">
        <v>14</v>
      </c>
      <c r="G4" s="162" t="n">
        <v>14</v>
      </c>
      <c r="H4" s="162" t="n">
        <v>14</v>
      </c>
      <c r="J4" s="160" t="inlineStr">
        <is>
          <t>Delta Existing</t>
        </is>
      </c>
      <c r="K4" s="162" t="n">
        <v>14</v>
      </c>
      <c r="L4" s="162" t="n">
        <v>14</v>
      </c>
      <c r="M4" s="162" t="n">
        <v>14</v>
      </c>
      <c r="N4" s="162" t="n">
        <v>14</v>
      </c>
      <c r="O4" s="162" t="n">
        <v>14</v>
      </c>
    </row>
    <row r="5" ht="15" customHeight="1" s="802">
      <c r="C5" s="160" t="inlineStr">
        <is>
          <t>Asia New</t>
        </is>
      </c>
      <c r="D5" s="162" t="n">
        <v>6</v>
      </c>
      <c r="E5" s="162" t="n">
        <v>12</v>
      </c>
      <c r="F5" s="162" t="n">
        <v>14</v>
      </c>
      <c r="G5" s="162" t="n">
        <v>14</v>
      </c>
      <c r="H5" s="162" t="n">
        <v>14</v>
      </c>
      <c r="J5" s="160" t="inlineStr">
        <is>
          <t>HK New</t>
        </is>
      </c>
      <c r="K5" s="162" t="n">
        <v>6</v>
      </c>
      <c r="L5" s="162" t="n">
        <v>12</v>
      </c>
      <c r="M5" s="162" t="n">
        <v>14</v>
      </c>
      <c r="N5" s="162" t="n">
        <v>14</v>
      </c>
      <c r="O5" s="162" t="n">
        <v>14</v>
      </c>
    </row>
    <row r="6" ht="15" customHeight="1" s="802">
      <c r="C6" s="158" t="inlineStr">
        <is>
          <t>Total</t>
        </is>
      </c>
      <c r="D6" s="162">
        <f>SUM(D4:D5)</f>
        <v/>
      </c>
      <c r="E6" s="162">
        <f>SUM(E4:E5)</f>
        <v/>
      </c>
      <c r="F6" s="162">
        <f>SUM(F4:F5)</f>
        <v/>
      </c>
      <c r="G6" s="162">
        <f>SUM(G4:G5)</f>
        <v/>
      </c>
      <c r="H6" s="162">
        <f>SUM(H4:H5)</f>
        <v/>
      </c>
      <c r="J6" s="158" t="inlineStr">
        <is>
          <t>Total</t>
        </is>
      </c>
      <c r="K6" s="162">
        <f>SUM(K4:K5)</f>
        <v/>
      </c>
      <c r="L6" s="162">
        <f>SUM(L4:L5)</f>
        <v/>
      </c>
      <c r="M6" s="162">
        <f>SUM(M4:M5)</f>
        <v/>
      </c>
      <c r="N6" s="162">
        <f>SUM(N4:N5)</f>
        <v/>
      </c>
      <c r="O6" s="162">
        <f>SUM(O4:O5)</f>
        <v/>
      </c>
    </row>
  </sheetData>
  <mergeCells count="6">
    <mergeCell ref="L2:M2"/>
    <mergeCell ref="G2:H2"/>
    <mergeCell ref="E2:F2"/>
    <mergeCell ref="K1:O1"/>
    <mergeCell ref="D1:H1"/>
    <mergeCell ref="N2:O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Lauren Butler</dc:creator>
  <dcterms:created xmlns:dcterms="http://purl.org/dc/terms/" xmlns:xsi="http://www.w3.org/2001/XMLSchema-instance" xsi:type="dcterms:W3CDTF">2019-10-01T13:51:07Z</dcterms:created>
  <dcterms:modified xmlns:dcterms="http://purl.org/dc/terms/" xmlns:xsi="http://www.w3.org/2001/XMLSchema-instance" xsi:type="dcterms:W3CDTF">2026-04-04T04:00:12Z</dcterms:modified>
  <cp:lastModifiedBy>John Shay</cp:lastModifiedBy>
</cp:coreProperties>
</file>